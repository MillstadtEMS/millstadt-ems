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4d0648b404c89" /></Relationships>
</file>

<file path=xl/workbook.xml><?xml version="1.0" encoding="utf-8"?>
<x:workbook xmlns:x="http://schemas.openxmlformats.org/spreadsheetml/2006/main">
  <x:workbookProtection workbookAlgorithmName="SHA-512" workbookHashValue="sfXk/PMsTJWMpmmz80KPuqPgX8kquboxo7olOao7CDMIsuAqNNY8dbr5dFXTr2KIJ2tOV8kkHBlrLEmVvCiMlQ==" workbookSaltValue="tqSgW6FPtTjt0kqCONA2uQ==" workbookSpinCount="100000" lockStructure="1"/>
  <x:sheets>
    <x:sheet xmlns:r="http://schemas.openxmlformats.org/officeDocument/2006/relationships" name="Annual EMS taxes" sheetId="1" r:id="Ra32500db0569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9c6d1f6ba4248" /><Relationship Type="http://schemas.openxmlformats.org/officeDocument/2006/relationships/theme" Target="/xl/theme/theme1.xml" Id="R943eb2ac91104bbd" /><Relationship Type="http://schemas.openxmlformats.org/officeDocument/2006/relationships/sharedStrings" Target="/xl/sharedStrings.xml" Id="Rc52952c071c0486c" /><Relationship Type="http://schemas.openxmlformats.org/officeDocument/2006/relationships/worksheet" Target="/xl/worksheets/sheet1.xml" Id="Ra32500db0569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17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6450 ALBERT LN, MILLSTADT, IL 62260</x:v>
      </x:c>
      <x:c r="B7" s="11" t="n">
        <x:v>120.84</x:v>
      </x:c>
      <x:c r="C7" s="11" t="n">
        <x:v>402.81</x:v>
      </x:c>
      <x:c r="D7" s="13" t="n">
        <x:f>ROUND(C7-B7,2)</x:f>
        <x:v>281.97</x:v>
      </x:c>
    </x:row>
    <x:row r="8" ht="46" customHeight="1">
      <x:c r="A8" s="14" t="str">
        <x:v>6456 ALBERT LN, MILLSTADT, IL 62260
Parcel 12-17.0-100-011</x:v>
      </x:c>
      <x:c r="B8" s="15" t="n">
        <x:v>14.31</x:v>
      </x:c>
      <x:c r="C8" s="15" t="n">
        <x:v>47.69</x:v>
      </x:c>
      <x:c r="D8" s="13" t="n">
        <x:f>ROUND(C8-B8,2)</x:f>
        <x:v>33.38</x:v>
      </x:c>
    </x:row>
    <x:row r="9" ht="46" customHeight="1">
      <x:c r="A9" s="9" t="str">
        <x:v>6456 ALBERT LN, MILLSTADT, IL 62260
Parcel 12-17.0-100-012</x:v>
      </x:c>
      <x:c r="B9" s="11" t="n">
        <x:v>5.62</x:v>
      </x:c>
      <x:c r="C9" s="11" t="n">
        <x:v>18.74</x:v>
      </x:c>
      <x:c r="D9" s="13" t="n">
        <x:f>ROUND(C9-B9,2)</x:f>
        <x:v>13.12</x:v>
      </x:c>
    </x:row>
    <x:row r="10" ht="46" customHeight="1">
      <x:c r="A10" s="14" t="str">
        <x:v>6462 ALBERT LN, MILLSTADT, IL 62260</x:v>
      </x:c>
      <x:c r="B10" s="15" t="n">
        <x:v>70.33</x:v>
      </x:c>
      <x:c r="C10" s="15" t="n">
        <x:v>234.45</x:v>
      </x:c>
      <x:c r="D10" s="13" t="n">
        <x:f>ROUND(C10-B10,2)</x:f>
        <x:v>164.12</x:v>
      </x:c>
    </x:row>
    <x:row r="11" ht="46" customHeight="1">
      <x:c r="A11" s="9" t="str">
        <x:v>6474 ALBERT LN, MILLSTADT, IL 62260</x:v>
      </x:c>
      <x:c r="B11" s="11" t="n">
        <x:v>85.19</x:v>
      </x:c>
      <x:c r="C11" s="11" t="n">
        <x:v>283.96</x:v>
      </x:c>
      <x:c r="D11" s="13" t="n">
        <x:f>ROUND(C11-B11,2)</x:f>
        <x:v>198.77</x:v>
      </x:c>
    </x:row>
    <x:row r="12" ht="46" customHeight="1">
      <x:c r="A12" s="14" t="str">
        <x:v>6475 ALBERT LN, MILLSTADT, IL 62260</x:v>
      </x:c>
      <x:c r="B12" s="15" t="n">
        <x:v>2.07</x:v>
      </x:c>
      <x:c r="C12" s="15" t="n">
        <x:v>6.89</x:v>
      </x:c>
      <x:c r="D12" s="13" t="n">
        <x:f>ROUND(C12-B12,2)</x:f>
        <x:v>4.82</x:v>
      </x:c>
    </x:row>
    <x:row r="13" ht="46" customHeight="1">
      <x:c r="A13" s="9" t="str">
        <x:v>6480 ALBERT LN, MILLSTADT, IL 62260</x:v>
      </x:c>
      <x:c r="B13" s="11" t="n">
        <x:v>123.38</x:v>
      </x:c>
      <x:c r="C13" s="11" t="n">
        <x:v>411.26</x:v>
      </x:c>
      <x:c r="D13" s="13" t="n">
        <x:f>ROUND(C13-B13,2)</x:f>
        <x:v>287.88</x:v>
      </x:c>
    </x:row>
    <x:row r="14" ht="46" customHeight="1">
      <x:c r="A14" s="14" t="str">
        <x:v>6200 BESSE LN, MILLSTADT, IL 62260</x:v>
      </x:c>
      <x:c r="B14" s="15" t="n">
        <x:v>60.82</x:v>
      </x:c>
      <x:c r="C14" s="15" t="n">
        <x:v>202.73</x:v>
      </x:c>
      <x:c r="D14" s="13" t="n">
        <x:f>ROUND(C14-B14,2)</x:f>
        <x:v>141.91</x:v>
      </x:c>
    </x:row>
    <x:row r="15" ht="46" customHeight="1">
      <x:c r="A15" s="9" t="str">
        <x:v>6251 BESSE LN, MILLSTADT, IL 62260</x:v>
      </x:c>
      <x:c r="B15" s="11" t="n">
        <x:v>48.38</x:v>
      </x:c>
      <x:c r="C15" s="11" t="n">
        <x:v>161.27</x:v>
      </x:c>
      <x:c r="D15" s="13" t="n">
        <x:f>ROUND(C15-B15,2)</x:f>
        <x:v>112.89</x:v>
      </x:c>
    </x:row>
    <x:row r="16" ht="46" customHeight="1">
      <x:c r="A16" s="14" t="str">
        <x:v>3031 DOUGLAS RD, MILLSTADT, IL 62260</x:v>
      </x:c>
      <x:c r="B16" s="15" t="n">
        <x:v>202.03</x:v>
      </x:c>
      <x:c r="C16" s="15" t="n">
        <x:v>673.43</x:v>
      </x:c>
      <x:c r="D16" s="13" t="n">
        <x:f>ROUND(C16-B16,2)</x:f>
        <x:v>471.4</x:v>
      </x:c>
    </x:row>
    <x:row r="17" ht="46" customHeight="1">
      <x:c r="A17" s="9" t="str">
        <x:v>6909 STATE RT 158, MILLSTADT, IL 62260
Parcel 12-17.0-300-010</x:v>
      </x:c>
      <x:c r="B17" s="11" t="n">
        <x:v>66.55</x:v>
      </x:c>
      <x:c r="C17" s="11" t="n">
        <x:v>221.84</x:v>
      </x:c>
      <x:c r="D17" s="13" t="n">
        <x:f>ROUND(C17-B17,2)</x:f>
        <x:v>155.29</x:v>
      </x:c>
    </x:row>
    <x:row r="18" ht="46" customHeight="1">
      <x:c r="A18" s="14" t="str">
        <x:v>6909 STATE RT 158, MILLSTADT, IL 62260
Parcel 12-17.0-300-011</x:v>
      </x:c>
      <x:c r="B18" s="15" t="n">
        <x:v>1.62</x:v>
      </x:c>
      <x:c r="C18" s="15" t="n">
        <x:v>5.41</x:v>
      </x:c>
      <x:c r="D18" s="13" t="n">
        <x:f>ROUND(C18-B18,2)</x:f>
        <x:v>3.79</x:v>
      </x:c>
    </x:row>
    <x:row r="19" ht="46" customHeight="1">
      <x:c r="A19" s="9" t="str">
        <x:v>6601 STATE RTE 158, MILLSTADT, IL 62260</x:v>
      </x:c>
      <x:c r="B19" s="11" t="n">
        <x:v>33.95</x:v>
      </x:c>
      <x:c r="C19" s="11" t="n">
        <x:v>113.16</x:v>
      </x:c>
      <x:c r="D19" s="13" t="n">
        <x:f>ROUND(C19-B19,2)</x:f>
        <x:v>79.21</x:v>
      </x:c>
    </x:row>
    <x:row r="20" ht="46" customHeight="1">
      <x:c r="A20" s="14" t="str">
        <x:v>6607 STATE RTE 158, MILLSTADT, IL 62260</x:v>
      </x:c>
      <x:c r="B20" s="15" t="n">
        <x:v>35.95</x:v>
      </x:c>
      <x:c r="C20" s="15" t="n">
        <x:v>119.84</x:v>
      </x:c>
      <x:c r="D20" s="13" t="n">
        <x:f>ROUND(C20-B20,2)</x:f>
        <x:v>83.89</x:v>
      </x:c>
    </x:row>
    <x:row r="21" ht="46" customHeight="1">
      <x:c r="A21" s="9" t="str">
        <x:v>6613 STATE RTE 158, MILLSTADT, IL 62260</x:v>
      </x:c>
      <x:c r="B21" s="11" t="n">
        <x:v>62.32</x:v>
      </x:c>
      <x:c r="C21" s="11" t="n">
        <x:v>207.74</x:v>
      </x:c>
      <x:c r="D21" s="13" t="n">
        <x:f>ROUND(C21-B21,2)</x:f>
        <x:v>145.42</x:v>
      </x:c>
    </x:row>
    <x:row r="22" ht="46" customHeight="1">
      <x:c r="A22" s="14" t="str">
        <x:v>6625 STATE RTE 158, MILLSTADT, IL 62260</x:v>
      </x:c>
      <x:c r="B22" s="15" t="n">
        <x:v>1214.48</x:v>
      </x:c>
      <x:c r="C22" s="15" t="n">
        <x:v>4048.26</x:v>
      </x:c>
      <x:c r="D22" s="13" t="n">
        <x:f>ROUND(C22-B22,2)</x:f>
        <x:v>2833.78</x:v>
      </x:c>
    </x:row>
    <x:row r="23" ht="46" customHeight="1">
      <x:c r="A23" s="9" t="str">
        <x:v>6648 STATE RTE 158, MILLSTADT, IL 62260</x:v>
      </x:c>
      <x:c r="B23" s="11" t="n">
        <x:v>119.03</x:v>
      </x:c>
      <x:c r="C23" s="11" t="n">
        <x:v>396.77</x:v>
      </x:c>
      <x:c r="D23" s="13" t="n">
        <x:f>ROUND(C23-B23,2)</x:f>
        <x:v>277.74</x:v>
      </x:c>
    </x:row>
    <x:row r="24" ht="46" customHeight="1">
      <x:c r="A24" s="14" t="str">
        <x:v>6654 STATE RTE 158, MILLSTADT, IL 62260</x:v>
      </x:c>
      <x:c r="B24" s="15" t="n">
        <x:v>66.69</x:v>
      </x:c>
      <x:c r="C24" s="15" t="n">
        <x:v>222.29</x:v>
      </x:c>
      <x:c r="D24" s="13" t="n">
        <x:f>ROUND(C24-B24,2)</x:f>
        <x:v>155.6</x:v>
      </x:c>
    </x:row>
    <x:row r="25" ht="46" customHeight="1">
      <x:c r="A25" s="9" t="str">
        <x:v>6918 STATE RTE 158, MILLSTADT, IL 62260</x:v>
      </x:c>
      <x:c r="B25" s="11" t="n">
        <x:v>85.04</x:v>
      </x:c>
      <x:c r="C25" s="11" t="n">
        <x:v>283.48</x:v>
      </x:c>
      <x:c r="D25" s="13" t="n">
        <x:f>ROUND(C25-B25,2)</x:f>
        <x:v>198.44</x:v>
      </x:c>
    </x:row>
  </x:sheetData>
  <x:sheetProtection algorithmName="SHA-512" hashValue="sfXk/PMsTJWMpmmz80KPuqPgX8kquboxo7olOao7CDMIsuAqNNY8dbr5dFXTr2KIJ2tOV8kkHBlrLEmVvCiMlQ==" saltValue="tqSgW6FPtTjt0kqCONA2uQ==" spinCount="100000" sheet="1" objects="1" scenarios="1"/>
  <x:pageMargins left="0.7" right="0.7" top="0.75" bottom="0.75" header="0.3" footer="0.3"/>
</x:worksheet>
</file>