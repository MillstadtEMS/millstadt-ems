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7e6c53d164498" /></Relationships>
</file>

<file path=xl/workbook.xml><?xml version="1.0" encoding="utf-8"?>
<x:workbook xmlns:x="http://schemas.openxmlformats.org/spreadsheetml/2006/main">
  <x:workbookProtection workbookAlgorithmName="SHA-512" workbookHashValue="KGBUOi+WIYxKLT7GM5uxHUb8TWyBVjI7zMrp1nyI/acXUiqw5g68OYMZU6DUp/gUsOBRjwBMR1JcN6KLY8gd7A==" workbookSaltValue="av1DP1AuT5V1hUA9Lz51LA==" workbookSpinCount="100000" lockStructure="1"/>
  <x:sheets>
    <x:sheet xmlns:r="http://schemas.openxmlformats.org/officeDocument/2006/relationships" name="Annual EMS taxes" sheetId="1" r:id="Rf8f982073ce4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3bad4b9624cb6" /><Relationship Type="http://schemas.openxmlformats.org/officeDocument/2006/relationships/theme" Target="/xl/theme/theme1.xml" Id="R228a71ec748d488d" /><Relationship Type="http://schemas.openxmlformats.org/officeDocument/2006/relationships/sharedStrings" Target="/xl/sharedStrings.xml" Id="R05830803a3644f9d" /><Relationship Type="http://schemas.openxmlformats.org/officeDocument/2006/relationships/worksheet" Target="/xl/worksheets/sheet1.xml" Id="Rf8f982073ce4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MIDWEST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 BASS LN, BELLEVILLE, IL 62223</x:v>
      </x:c>
      <x:c r="B7" s="11" t="n">
        <x:v>108.93</x:v>
      </x:c>
      <x:c r="C7" s="11" t="n">
        <x:v>363.11</x:v>
      </x:c>
      <x:c r="D7" s="13" t="n">
        <x:f>ROUND(C7-B7,2)</x:f>
        <x:v>254.18</x:v>
      </x:c>
    </x:row>
    <x:row r="8" ht="46" customHeight="1">
      <x:c r="A8" s="14" t="str">
        <x:v>16 BASS LN, BELLEVILLE, IL 62223</x:v>
      </x:c>
      <x:c r="B8" s="15" t="n">
        <x:v>103.47</x:v>
      </x:c>
      <x:c r="C8" s="15" t="n">
        <x:v>344.9</x:v>
      </x:c>
      <x:c r="D8" s="13" t="n">
        <x:f>ROUND(C8-B8,2)</x:f>
        <x:v>241.43</x:v>
      </x:c>
    </x:row>
    <x:row r="9" ht="46" customHeight="1">
      <x:c r="A9" s="9" t="str">
        <x:v>17 BASS LN, BELLEVILLE, IL 62223</x:v>
      </x:c>
      <x:c r="B9" s="11" t="n">
        <x:v>106.93</x:v>
      </x:c>
      <x:c r="C9" s="11" t="n">
        <x:v>356.42</x:v>
      </x:c>
      <x:c r="D9" s="13" t="n">
        <x:f>ROUND(C9-B9,2)</x:f>
        <x:v>249.49</x:v>
      </x:c>
    </x:row>
    <x:row r="10" ht="46" customHeight="1">
      <x:c r="A10" s="14" t="str">
        <x:v>7600 CONCORDIA RD, BELLEVILLE, IL 62223</x:v>
      </x:c>
      <x:c r="B10" s="15" t="n">
        <x:v>80.05</x:v>
      </x:c>
      <x:c r="C10" s="15" t="n">
        <x:v>266.84</x:v>
      </x:c>
      <x:c r="D10" s="13" t="n">
        <x:f>ROUND(C10-B10,2)</x:f>
        <x:v>186.79</x:v>
      </x:c>
    </x:row>
    <x:row r="11" ht="46" customHeight="1">
      <x:c r="A11" s="9" t="str">
        <x:v>7602 CONCORDIA RD, BELLEVILLE, IL 62223</x:v>
      </x:c>
      <x:c r="B11" s="11" t="n">
        <x:v>84.59</x:v>
      </x:c>
      <x:c r="C11" s="11" t="n">
        <x:v>281.98</x:v>
      </x:c>
      <x:c r="D11" s="13" t="n">
        <x:f>ROUND(C11-B11,2)</x:f>
        <x:v>197.39</x:v>
      </x:c>
    </x:row>
    <x:row r="12" ht="46" customHeight="1">
      <x:c r="A12" s="14" t="str">
        <x:v>8040 CONCORDIA RD, BELLEVILLE, IL 62223</x:v>
      </x:c>
      <x:c r="B12" s="15" t="n">
        <x:v>6.59</x:v>
      </x:c>
      <x:c r="C12" s="15" t="n">
        <x:v>21.97</x:v>
      </x:c>
      <x:c r="D12" s="13" t="n">
        <x:f>ROUND(C12-B12,2)</x:f>
        <x:v>15.38</x:v>
      </x:c>
    </x:row>
    <x:row r="13" ht="46" customHeight="1">
      <x:c r="A13" s="9" t="str">
        <x:v>9 GUM LN, BELLEVILLE, IL 62223</x:v>
      </x:c>
      <x:c r="B13" s="11" t="n">
        <x:v>82.81</x:v>
      </x:c>
      <x:c r="C13" s="11" t="n">
        <x:v>276.04</x:v>
      </x:c>
      <x:c r="D13" s="13" t="n">
        <x:f>ROUND(C13-B13,2)</x:f>
        <x:v>193.23</x:v>
      </x:c>
    </x:row>
    <x:row r="14" ht="46" customHeight="1">
      <x:c r="A14" s="14" t="str">
        <x:v>10 GUM LN, BELLEVILLE, IL 62223</x:v>
      </x:c>
      <x:c r="B14" s="15" t="n">
        <x:v>81.79</x:v>
      </x:c>
      <x:c r="C14" s="15" t="n">
        <x:v>272.64</x:v>
      </x:c>
      <x:c r="D14" s="13" t="n">
        <x:f>ROUND(C14-B14,2)</x:f>
        <x:v>190.85</x:v>
      </x:c>
    </x:row>
    <x:row r="15" ht="46" customHeight="1">
      <x:c r="A15" s="9" t="str">
        <x:v>17 GUM LN, BELLEVILLE, IL 62223</x:v>
      </x:c>
      <x:c r="B15" s="11" t="n">
        <x:v>66.13</x:v>
      </x:c>
      <x:c r="C15" s="11" t="n">
        <x:v>220.44</x:v>
      </x:c>
      <x:c r="D15" s="13" t="n">
        <x:f>ROUND(C15-B15,2)</x:f>
        <x:v>154.31</x:v>
      </x:c>
    </x:row>
    <x:row r="16" ht="46" customHeight="1">
      <x:c r="A16" s="14" t="str">
        <x:v>7133 MINE HALL RD, BELLEVILLE, IL 62223</x:v>
      </x:c>
      <x:c r="B16" s="15" t="n">
        <x:v>83.43</x:v>
      </x:c>
      <x:c r="C16" s="15" t="n">
        <x:v>278.09</x:v>
      </x:c>
      <x:c r="D16" s="13" t="n">
        <x:f>ROUND(C16-B16,2)</x:f>
        <x:v>194.66</x:v>
      </x:c>
    </x:row>
    <x:row r="17" ht="46" customHeight="1">
      <x:c r="A17" s="9" t="str">
        <x:v>7169 MINE HALL RD, BELLEVILLE, IL 62223</x:v>
      </x:c>
      <x:c r="B17" s="11" t="n">
        <x:v>130.57</x:v>
      </x:c>
      <x:c r="C17" s="11" t="n">
        <x:v>435.22</x:v>
      </x:c>
      <x:c r="D17" s="13" t="n">
        <x:f>ROUND(C17-B17,2)</x:f>
        <x:v>304.65</x:v>
      </x:c>
    </x:row>
    <x:row r="18" ht="46" customHeight="1">
      <x:c r="A18" s="14" t="str">
        <x:v>6877 MINE HAUL RD, BELLEVILLE, IL 62223</x:v>
      </x:c>
      <x:c r="B18" s="15" t="n">
        <x:v>15.91</x:v>
      </x:c>
      <x:c r="C18" s="15" t="n">
        <x:v>53.02</x:v>
      </x:c>
      <x:c r="D18" s="13" t="n">
        <x:f>ROUND(C18-B18,2)</x:f>
        <x:v>37.11</x:v>
      </x:c>
    </x:row>
    <x:row r="19" ht="46" customHeight="1">
      <x:c r="A19" s="9" t="str">
        <x:v>7041 MINE HAUL RD, BELLEVILLE, IL 62223</x:v>
      </x:c>
      <x:c r="B19" s="11" t="n">
        <x:v>86</x:v>
      </x:c>
      <x:c r="C19" s="11" t="n">
        <x:v>286.67</x:v>
      </x:c>
      <x:c r="D19" s="13" t="n">
        <x:f>ROUND(C19-B19,2)</x:f>
        <x:v>200.67</x:v>
      </x:c>
    </x:row>
    <x:row r="20" ht="46" customHeight="1">
      <x:c r="A20" s="14" t="str">
        <x:v>16 PECAN LN, BELLEVILLE, IL 62223</x:v>
      </x:c>
      <x:c r="B20" s="15" t="n">
        <x:v>46.15</x:v>
      </x:c>
      <x:c r="C20" s="15" t="n">
        <x:v>153.83</x:v>
      </x:c>
      <x:c r="D20" s="13" t="n">
        <x:f>ROUND(C20-B20,2)</x:f>
        <x:v>107.68</x:v>
      </x:c>
    </x:row>
    <x:row r="21" ht="46" customHeight="1">
      <x:c r="A21" s="9" t="str">
        <x:v>27 PECAN LN, BELLEVILLE, IL 62223</x:v>
      </x:c>
      <x:c r="B21" s="11" t="n">
        <x:v>72.74</x:v>
      </x:c>
      <x:c r="C21" s="11" t="n">
        <x:v>242.48</x:v>
      </x:c>
      <x:c r="D21" s="13" t="n">
        <x:f>ROUND(C21-B21,2)</x:f>
        <x:v>169.74</x:v>
      </x:c>
    </x:row>
    <x:row r="22" ht="46" customHeight="1">
      <x:c r="A22" s="14" t="str">
        <x:v>28 PECAN LN, BELLEVILLE, IL 62223</x:v>
      </x:c>
      <x:c r="B22" s="15" t="n">
        <x:v>66.1</x:v>
      </x:c>
      <x:c r="C22" s="15" t="n">
        <x:v>220.33</x:v>
      </x:c>
      <x:c r="D22" s="13" t="n">
        <x:f>ROUND(C22-B22,2)</x:f>
        <x:v>154.23</x:v>
      </x:c>
    </x:row>
    <x:row r="23" ht="46" customHeight="1">
      <x:c r="A23" s="9" t="str">
        <x:v>100 PECAN LN, BELLEVILLE, IL 62223</x:v>
      </x:c>
      <x:c r="B23" s="11" t="n">
        <x:v>102.25</x:v>
      </x:c>
      <x:c r="C23" s="11" t="n">
        <x:v>340.82</x:v>
      </x:c>
      <x:c r="D23" s="13" t="n">
        <x:f>ROUND(C23-B23,2)</x:f>
        <x:v>238.57</x:v>
      </x:c>
    </x:row>
    <x:row r="24" ht="46" customHeight="1">
      <x:c r="A24" s="14" t="str">
        <x:v>108 PECAN LN, BELLEVILLE, IL 62223</x:v>
      </x:c>
      <x:c r="B24" s="15" t="n">
        <x:v>75.2</x:v>
      </x:c>
      <x:c r="C24" s="15" t="n">
        <x:v>250.68</x:v>
      </x:c>
      <x:c r="D24" s="13" t="n">
        <x:f>ROUND(C24-B24,2)</x:f>
        <x:v>175.48</x:v>
      </x:c>
    </x:row>
    <x:row r="25" ht="46" customHeight="1">
      <x:c r="A25" s="9" t="str">
        <x:v>109 PECAN LN, BELLEVILLE, IL 62223</x:v>
      </x:c>
      <x:c r="B25" s="11" t="n">
        <x:v>162.42</x:v>
      </x:c>
      <x:c r="C25" s="11" t="n">
        <x:v>541.4</x:v>
      </x:c>
      <x:c r="D25" s="13" t="n">
        <x:f>ROUND(C25-B25,2)</x:f>
        <x:v>378.98</x:v>
      </x:c>
    </x:row>
    <x:row r="26" ht="46" customHeight="1">
      <x:c r="A26" s="14" t="str">
        <x:v>117 PECAN LN, BELLEVILLE, IL 62223</x:v>
      </x:c>
      <x:c r="B26" s="15" t="n">
        <x:v>106.07</x:v>
      </x:c>
      <x:c r="C26" s="15" t="n">
        <x:v>353.56</x:v>
      </x:c>
      <x:c r="D26" s="13" t="n">
        <x:f>ROUND(C26-B26,2)</x:f>
        <x:v>247.49</x:v>
      </x:c>
    </x:row>
    <x:row r="27" ht="46" customHeight="1">
      <x:c r="A27" s="9" t="str">
        <x:v>124 PECAN LN, BELLEVILLE, IL 62223</x:v>
      </x:c>
      <x:c r="B27" s="11" t="n">
        <x:v>76.89</x:v>
      </x:c>
      <x:c r="C27" s="11" t="n">
        <x:v>256.31</x:v>
      </x:c>
      <x:c r="D27" s="13" t="n">
        <x:f>ROUND(C27-B27,2)</x:f>
        <x:v>179.42</x:v>
      </x:c>
    </x:row>
    <x:row r="28" ht="46" customHeight="1">
      <x:c r="A28" s="14" t="str">
        <x:v>125 PECAN LN, BELLEVILLE, IL 62223</x:v>
      </x:c>
      <x:c r="B28" s="15" t="n">
        <x:v>118.42</x:v>
      </x:c>
      <x:c r="C28" s="15" t="n">
        <x:v>394.74</x:v>
      </x:c>
      <x:c r="D28" s="13" t="n">
        <x:f>ROUND(C28-B28,2)</x:f>
        <x:v>276.32</x:v>
      </x:c>
    </x:row>
    <x:row r="29" ht="46" customHeight="1">
      <x:c r="A29" s="9" t="str">
        <x:v>133 PECAN LN, BELLEVILLE, IL 62223</x:v>
      </x:c>
      <x:c r="B29" s="11" t="n">
        <x:v>82.26</x:v>
      </x:c>
      <x:c r="C29" s="11" t="n">
        <x:v>274.2</x:v>
      </x:c>
      <x:c r="D29" s="13" t="n">
        <x:f>ROUND(C29-B29,2)</x:f>
        <x:v>191.94</x:v>
      </x:c>
    </x:row>
    <x:row r="30" ht="46" customHeight="1">
      <x:c r="A30" s="14" t="str">
        <x:v>141 PECAN LN, BELLEVILLE, IL 62223</x:v>
      </x:c>
      <x:c r="B30" s="15" t="n">
        <x:v>85</x:v>
      </x:c>
      <x:c r="C30" s="15" t="n">
        <x:v>283.34</x:v>
      </x:c>
      <x:c r="D30" s="13" t="n">
        <x:f>ROUND(C30-B30,2)</x:f>
        <x:v>198.34</x:v>
      </x:c>
    </x:row>
    <x:row r="31" ht="46" customHeight="1">
      <x:c r="A31" s="9" t="str">
        <x:v>149 PECAN LN, BELLEVILLE, IL 62223</x:v>
      </x:c>
      <x:c r="B31" s="11" t="n">
        <x:v>51.95</x:v>
      </x:c>
      <x:c r="C31" s="11" t="n">
        <x:v>173.16</x:v>
      </x:c>
      <x:c r="D31" s="13" t="n">
        <x:f>ROUND(C31-B31,2)</x:f>
        <x:v>121.21</x:v>
      </x:c>
    </x:row>
    <x:row r="32" ht="46" customHeight="1">
      <x:c r="A32" s="14" t="str">
        <x:v>201 PECAN LN, BELLEVILLE, IL 62223</x:v>
      </x:c>
      <x:c r="B32" s="15" t="n">
        <x:v>83.32</x:v>
      </x:c>
      <x:c r="C32" s="15" t="n">
        <x:v>277.72</x:v>
      </x:c>
      <x:c r="D32" s="13" t="n">
        <x:f>ROUND(C32-B32,2)</x:f>
        <x:v>194.4</x:v>
      </x:c>
    </x:row>
    <x:row r="33" ht="46" customHeight="1">
      <x:c r="A33" s="9" t="str">
        <x:v>220 PECAN LN, BELLEVILLE, IL 62223</x:v>
      </x:c>
      <x:c r="B33" s="11" t="n">
        <x:v>49.57</x:v>
      </x:c>
      <x:c r="C33" s="11" t="n">
        <x:v>165.23</x:v>
      </x:c>
      <x:c r="D33" s="13" t="n">
        <x:f>ROUND(C33-B33,2)</x:f>
        <x:v>115.66</x:v>
      </x:c>
    </x:row>
    <x:row r="34" ht="46" customHeight="1">
      <x:c r="A34" s="14" t="str">
        <x:v>320 PECAN LN, BELLEVILLE, IL 62223</x:v>
      </x:c>
      <x:c r="B34" s="15" t="n">
        <x:v>114.9</x:v>
      </x:c>
      <x:c r="C34" s="15" t="n">
        <x:v>383</x:v>
      </x:c>
      <x:c r="D34" s="13" t="n">
        <x:f>ROUND(C34-B34,2)</x:f>
        <x:v>268.1</x:v>
      </x:c>
    </x:row>
    <x:row r="35" ht="46" customHeight="1">
      <x:c r="A35" s="9" t="str">
        <x:v>400 PECAN LN, BELLEVILLE, IL 62223</x:v>
      </x:c>
      <x:c r="B35" s="11" t="n">
        <x:v>90.02</x:v>
      </x:c>
      <x:c r="C35" s="11" t="n">
        <x:v>300.06</x:v>
      </x:c>
      <x:c r="D35" s="13" t="n">
        <x:f>ROUND(C35-B35,2)</x:f>
        <x:v>210.04</x:v>
      </x:c>
    </x:row>
    <x:row r="36" ht="46" customHeight="1">
      <x:c r="A36" s="14" t="str">
        <x:v>401 PECAN LN, BELLEVILLE, IL 62223</x:v>
      </x:c>
      <x:c r="B36" s="15" t="n">
        <x:v>121.45</x:v>
      </x:c>
      <x:c r="C36" s="15" t="n">
        <x:v>404.83</x:v>
      </x:c>
      <x:c r="D36" s="13" t="n">
        <x:f>ROUND(C36-B36,2)</x:f>
        <x:v>283.38</x:v>
      </x:c>
    </x:row>
    <x:row r="37" ht="46" customHeight="1">
      <x:c r="A37" s="9" t="str">
        <x:v>408 PECAN LN, BELLEVILLE, IL 62223</x:v>
      </x:c>
      <x:c r="B37" s="11" t="n">
        <x:v>57.14</x:v>
      </x:c>
      <x:c r="C37" s="11" t="n">
        <x:v>190.46</x:v>
      </x:c>
      <x:c r="D37" s="13" t="n">
        <x:f>ROUND(C37-B37,2)</x:f>
        <x:v>133.32</x:v>
      </x:c>
    </x:row>
    <x:row r="38" ht="46" customHeight="1">
      <x:c r="A38" s="14" t="str">
        <x:v>409 PECAN LN, BELLEVILLE, IL 62223</x:v>
      </x:c>
      <x:c r="B38" s="15" t="n">
        <x:v>45.16</x:v>
      </x:c>
      <x:c r="C38" s="15" t="n">
        <x:v>150.52</x:v>
      </x:c>
      <x:c r="D38" s="13" t="n">
        <x:f>ROUND(C38-B38,2)</x:f>
        <x:v>105.36</x:v>
      </x:c>
    </x:row>
    <x:row r="39" ht="46" customHeight="1">
      <x:c r="A39" s="9" t="str">
        <x:v>416 PECAN LN, BELLEVILLE, IL 62223</x:v>
      </x:c>
      <x:c r="B39" s="11" t="n">
        <x:v>103.18</x:v>
      </x:c>
      <x:c r="C39" s="11" t="n">
        <x:v>343.94</x:v>
      </x:c>
      <x:c r="D39" s="13" t="n">
        <x:f>ROUND(C39-B39,2)</x:f>
        <x:v>240.76</x:v>
      </x:c>
    </x:row>
    <x:row r="40" ht="46" customHeight="1">
      <x:c r="A40" s="14" t="str">
        <x:v>421 PECAN LN, BELLEVILLE, IL 62223</x:v>
      </x:c>
      <x:c r="B40" s="15" t="n">
        <x:v>49.47</x:v>
      </x:c>
      <x:c r="C40" s="15" t="n">
        <x:v>164.9</x:v>
      </x:c>
      <x:c r="D40" s="13" t="n">
        <x:f>ROUND(C40-B40,2)</x:f>
        <x:v>115.43</x:v>
      </x:c>
    </x:row>
    <x:row r="41" ht="46" customHeight="1">
      <x:c r="A41" s="9" t="str">
        <x:v>424 PECAN LN, BELLEVILLE, IL 62223</x:v>
      </x:c>
      <x:c r="B41" s="11" t="n">
        <x:v>0</x:v>
      </x:c>
      <x:c r="C41" s="11" t="n">
        <x:v>0</x:v>
      </x:c>
      <x:c r="D41" s="13" t="n">
        <x:f>ROUND(C41-B41,2)</x:f>
        <x:v>0</x:v>
      </x:c>
    </x:row>
    <x:row r="42" ht="46" customHeight="1">
      <x:c r="A42" s="14" t="str">
        <x:v>101 PINE LAKE DR, BELLEVILLE, IL 62223</x:v>
      </x:c>
      <x:c r="B42" s="15" t="n">
        <x:v>85.25</x:v>
      </x:c>
      <x:c r="C42" s="15" t="n">
        <x:v>284.15</x:v>
      </x:c>
      <x:c r="D42" s="13" t="n">
        <x:f>ROUND(C42-B42,2)</x:f>
        <x:v>198.9</x:v>
      </x:c>
    </x:row>
    <x:row r="43" ht="46" customHeight="1">
      <x:c r="A43" s="9" t="str">
        <x:v>108 PINE LAKE DR, BELLEVILLE, IL 62223</x:v>
      </x:c>
      <x:c r="B43" s="11" t="n">
        <x:v>87.33</x:v>
      </x:c>
      <x:c r="C43" s="11" t="n">
        <x:v>291.11</x:v>
      </x:c>
      <x:c r="D43" s="13" t="n">
        <x:f>ROUND(C43-B43,2)</x:f>
        <x:v>203.78</x:v>
      </x:c>
    </x:row>
    <x:row r="44" ht="46" customHeight="1">
      <x:c r="A44" s="14" t="str">
        <x:v>109 PINE LAKE DR, BELLEVILLE, IL 62223</x:v>
      </x:c>
      <x:c r="B44" s="15" t="n">
        <x:v>101.73</x:v>
      </x:c>
      <x:c r="C44" s="15" t="n">
        <x:v>339.1</x:v>
      </x:c>
      <x:c r="D44" s="13" t="n">
        <x:f>ROUND(C44-B44,2)</x:f>
        <x:v>237.37</x:v>
      </x:c>
    </x:row>
    <x:row r="45" ht="46" customHeight="1">
      <x:c r="A45" s="9" t="str">
        <x:v>116 PINE LAKE DR, BELLEVILLE, IL 62223</x:v>
      </x:c>
      <x:c r="B45" s="11" t="n">
        <x:v>83.22</x:v>
      </x:c>
      <x:c r="C45" s="11" t="n">
        <x:v>277.4</x:v>
      </x:c>
      <x:c r="D45" s="13" t="n">
        <x:f>ROUND(C45-B45,2)</x:f>
        <x:v>194.18</x:v>
      </x:c>
    </x:row>
    <x:row r="46" ht="46" customHeight="1">
      <x:c r="A46" s="14" t="str">
        <x:v>117 PINE LAKE DR, BELLEVILLE, IL 62223</x:v>
      </x:c>
      <x:c r="B46" s="15" t="n">
        <x:v>100.4</x:v>
      </x:c>
      <x:c r="C46" s="15" t="n">
        <x:v>334.68</x:v>
      </x:c>
      <x:c r="D46" s="13" t="n">
        <x:f>ROUND(C46-B46,2)</x:f>
        <x:v>234.28</x:v>
      </x:c>
    </x:row>
    <x:row r="47" ht="46" customHeight="1">
      <x:c r="A47" s="9" t="str">
        <x:v>124 PINE LAKE DR, BELLEVILLE, IL 62223</x:v>
      </x:c>
      <x:c r="B47" s="11" t="n">
        <x:v>75</x:v>
      </x:c>
      <x:c r="C47" s="11" t="n">
        <x:v>250.01</x:v>
      </x:c>
      <x:c r="D47" s="13" t="n">
        <x:f>ROUND(C47-B47,2)</x:f>
        <x:v>175.01</x:v>
      </x:c>
    </x:row>
    <x:row r="48" ht="46" customHeight="1">
      <x:c r="A48" s="14" t="str">
        <x:v>125 PINE LAKE DR, BELLEVILLE, IL 62223</x:v>
      </x:c>
      <x:c r="B48" s="15" t="n">
        <x:v>82.49</x:v>
      </x:c>
      <x:c r="C48" s="15" t="n">
        <x:v>274.97</x:v>
      </x:c>
      <x:c r="D48" s="13" t="n">
        <x:f>ROUND(C48-B48,2)</x:f>
        <x:v>192.48</x:v>
      </x:c>
    </x:row>
    <x:row r="49" ht="46" customHeight="1">
      <x:c r="A49" s="9" t="str">
        <x:v>132 PINE LAKE DR, BELLEVILLE, IL 62223</x:v>
      </x:c>
      <x:c r="B49" s="11" t="n">
        <x:v>64.93</x:v>
      </x:c>
      <x:c r="C49" s="11" t="n">
        <x:v>216.44</x:v>
      </x:c>
      <x:c r="D49" s="13" t="n">
        <x:f>ROUND(C49-B49,2)</x:f>
        <x:v>151.51</x:v>
      </x:c>
    </x:row>
    <x:row r="50" ht="46" customHeight="1">
      <x:c r="A50" s="14" t="str">
        <x:v>133 PINE LAKE DR, BELLEVILLE, IL 62223</x:v>
      </x:c>
      <x:c r="B50" s="15" t="n">
        <x:v>34.69</x:v>
      </x:c>
      <x:c r="C50" s="15" t="n">
        <x:v>115.64</x:v>
      </x:c>
      <x:c r="D50" s="13" t="n">
        <x:f>ROUND(C50-B50,2)</x:f>
        <x:v>80.95</x:v>
      </x:c>
    </x:row>
  </x:sheetData>
  <x:sheetProtection algorithmName="SHA-512" hashValue="KGBUOi+WIYxKLT7GM5uxHUb8TWyBVjI7zMrp1nyI/acXUiqw5g68OYMZU6DUp/gUsOBRjwBMR1JcN6KLY8gd7A==" saltValue="av1DP1AuT5V1hUA9Lz51LA==" spinCount="100000" sheet="1" objects="1" scenarios="1"/>
  <x:pageMargins left="0.7" right="0.7" top="0.75" bottom="0.75" header="0.3" footer="0.3"/>
</x:worksheet>
</file>