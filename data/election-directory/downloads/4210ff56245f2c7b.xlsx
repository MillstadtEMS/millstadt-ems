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47f687f84461f" /></Relationships>
</file>

<file path=xl/workbook.xml><?xml version="1.0" encoding="utf-8"?>
<x:workbook xmlns:x="http://schemas.openxmlformats.org/spreadsheetml/2006/main">
  <x:workbookProtection workbookAlgorithmName="SHA-512" workbookHashValue="3vyaOaob1ADsi0dNDqLG63JNin5YTrYrKBkgwOYUjucL+PoF16SLCnMf2OtEH49f532qQHe2Ulnm45ZoX8qGZg==" workbookSaltValue="q7WRZy4uv0wSrKN+es8sFQ==" workbookSpinCount="100000" lockStructure="1"/>
  <x:sheets>
    <x:sheet xmlns:r="http://schemas.openxmlformats.org/officeDocument/2006/relationships" name="Annual EMS taxes" sheetId="1" r:id="R6b6f7263dc78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677cb26d244f0" /><Relationship Type="http://schemas.openxmlformats.org/officeDocument/2006/relationships/theme" Target="/xl/theme/theme1.xml" Id="R2e8a3b3bdb0149ca" /><Relationship Type="http://schemas.openxmlformats.org/officeDocument/2006/relationships/sharedStrings" Target="/xl/sharedStrings.xml" Id="R47b21b2fb9ad4ec4" /><Relationship Type="http://schemas.openxmlformats.org/officeDocument/2006/relationships/worksheet" Target="/xl/worksheets/sheet1.xml" Id="R6b6f7263dc7847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22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5742 CLUBHOUSE LN, MILLSTADT, IL 62260</x:v>
      </x:c>
      <x:c r="B7" s="11" t="n">
        <x:v>40.57</x:v>
      </x:c>
      <x:c r="C7" s="11" t="n">
        <x:v>135.25</x:v>
      </x:c>
      <x:c r="D7" s="13" t="n">
        <x:f>ROUND(C7-B7,2)</x:f>
        <x:v>94.68</x:v>
      </x:c>
    </x:row>
    <x:row r="8" ht="46" customHeight="1">
      <x:c r="A8" s="14" t="str">
        <x:v>5743 CLUBHOUSE LN, MILLSTADT, IL 62260</x:v>
      </x:c>
      <x:c r="B8" s="15" t="n">
        <x:v>41.2</x:v>
      </x:c>
      <x:c r="C8" s="15" t="n">
        <x:v>137.34</x:v>
      </x:c>
      <x:c r="D8" s="13" t="n">
        <x:f>ROUND(C8-B8,2)</x:f>
        <x:v>96.14</x:v>
      </x:c>
    </x:row>
    <x:row r="9" ht="46" customHeight="1">
      <x:c r="A9" s="9" t="str">
        <x:v>5755 CLUBHOUSE LN, MILLSTADT, IL 62260</x:v>
      </x:c>
      <x:c r="B9" s="11" t="n">
        <x:v>28.73</x:v>
      </x:c>
      <x:c r="C9" s="11" t="n">
        <x:v>95.75</x:v>
      </x:c>
      <x:c r="D9" s="13" t="n">
        <x:f>ROUND(C9-B9,2)</x:f>
        <x:v>67.02</x:v>
      </x:c>
    </x:row>
    <x:row r="10" ht="46" customHeight="1">
      <x:c r="A10" s="14" t="str">
        <x:v>5767 CLUBHOUSE LN, MILLSTADT, IL 62260</x:v>
      </x:c>
      <x:c r="B10" s="15" t="n">
        <x:v>0</x:v>
      </x:c>
      <x:c r="C10" s="15" t="n">
        <x:v>0</x:v>
      </x:c>
      <x:c r="D10" s="13" t="n">
        <x:f>ROUND(C10-B10,2)</x:f>
        <x:v>0</x:v>
      </x:c>
    </x:row>
    <x:row r="11" ht="46" customHeight="1">
      <x:c r="A11" s="9" t="str">
        <x:v>4076 DOUGLAS, MILLSTADT, IL 62260</x:v>
      </x:c>
      <x:c r="B11" s="11" t="n">
        <x:v>1.43</x:v>
      </x:c>
      <x:c r="C11" s="11" t="n">
        <x:v>4.77</x:v>
      </x:c>
      <x:c r="D11" s="13" t="n">
        <x:f>ROUND(C11-B11,2)</x:f>
        <x:v>3.34</x:v>
      </x:c>
    </x:row>
    <x:row r="12" ht="46" customHeight="1">
      <x:c r="A12" s="14" t="str">
        <x:v>3615 DOUGLAS RD, MILLSTADT, IL 62260</x:v>
      </x:c>
      <x:c r="B12" s="15" t="n">
        <x:v>87</x:v>
      </x:c>
      <x:c r="C12" s="15" t="n">
        <x:v>290.01</x:v>
      </x:c>
      <x:c r="D12" s="13" t="n">
        <x:f>ROUND(C12-B12,2)</x:f>
        <x:v>203.01</x:v>
      </x:c>
    </x:row>
    <x:row r="13" ht="46" customHeight="1">
      <x:c r="A13" s="9" t="str">
        <x:v>3701 DOUGLAS RD, MILLSTADT, IL 62260
Parcel 12-22.0-100-011</x:v>
      </x:c>
      <x:c r="B13" s="11" t="n">
        <x:v>3.61</x:v>
      </x:c>
      <x:c r="C13" s="11" t="n">
        <x:v>12.04</x:v>
      </x:c>
      <x:c r="D13" s="13" t="n">
        <x:f>ROUND(C13-B13,2)</x:f>
        <x:v>8.43</x:v>
      </x:c>
    </x:row>
    <x:row r="14" ht="46" customHeight="1">
      <x:c r="A14" s="14" t="str">
        <x:v>3701 DOUGLAS RD, MILLSTADT, IL 62260
Parcel 12-22.0-100-012</x:v>
      </x:c>
      <x:c r="B14" s="15" t="n">
        <x:v>77.94</x:v>
      </x:c>
      <x:c r="C14" s="15" t="n">
        <x:v>259.8</x:v>
      </x:c>
      <x:c r="D14" s="13" t="n">
        <x:f>ROUND(C14-B14,2)</x:f>
        <x:v>181.86</x:v>
      </x:c>
    </x:row>
    <x:row r="15" ht="46" customHeight="1">
      <x:c r="A15" s="9" t="str">
        <x:v>3901 DOUGLAS RD, MILLSTADT, IL 62260</x:v>
      </x:c>
      <x:c r="B15" s="11" t="n">
        <x:v>1.47</x:v>
      </x:c>
      <x:c r="C15" s="11" t="n">
        <x:v>4.91</x:v>
      </x:c>
      <x:c r="D15" s="13" t="n">
        <x:f>ROUND(C15-B15,2)</x:f>
        <x:v>3.44</x:v>
      </x:c>
    </x:row>
    <x:row r="16" ht="46" customHeight="1">
      <x:c r="A16" s="14" t="str">
        <x:v>5701 FLORAVILLE RD, MILLSTADT, IL 62260</x:v>
      </x:c>
      <x:c r="B16" s="15" t="n">
        <x:v>79.37</x:v>
      </x:c>
      <x:c r="C16" s="15" t="n">
        <x:v>264.58</x:v>
      </x:c>
      <x:c r="D16" s="13" t="n">
        <x:f>ROUND(C16-B16,2)</x:f>
        <x:v>185.21</x:v>
      </x:c>
    </x:row>
    <x:row r="17" ht="46" customHeight="1">
      <x:c r="A17" s="9" t="str">
        <x:v>5815 FLORAVILLE RD, MILLSTADT, IL 62260</x:v>
      </x:c>
      <x:c r="B17" s="11" t="n">
        <x:v>69.8</x:v>
      </x:c>
      <x:c r="C17" s="11" t="n">
        <x:v>232.65</x:v>
      </x:c>
      <x:c r="D17" s="13" t="n">
        <x:f>ROUND(C17-B17,2)</x:f>
        <x:v>162.85</x:v>
      </x:c>
    </x:row>
    <x:row r="18" ht="46" customHeight="1">
      <x:c r="A18" s="14" t="str">
        <x:v>5866 FLORAVILLE RD, MILLSTADT, IL 62260</x:v>
      </x:c>
      <x:c r="B18" s="15" t="n">
        <x:v>9.46</x:v>
      </x:c>
      <x:c r="C18" s="15" t="n">
        <x:v>31.55</x:v>
      </x:c>
      <x:c r="D18" s="13" t="n">
        <x:f>ROUND(C18-B18,2)</x:f>
        <x:v>22.09</x:v>
      </x:c>
    </x:row>
    <x:row r="19" ht="46" customHeight="1">
      <x:c r="A19" s="9" t="str">
        <x:v>5867 FLORAVILLE RD, MILLSTADT, IL 62260</x:v>
      </x:c>
      <x:c r="B19" s="11" t="n">
        <x:v>45.23</x:v>
      </x:c>
      <x:c r="C19" s="11" t="n">
        <x:v>150.78</x:v>
      </x:c>
      <x:c r="D19" s="13" t="n">
        <x:f>ROUND(C19-B19,2)</x:f>
        <x:v>105.55</x:v>
      </x:c>
    </x:row>
    <x:row r="20" ht="46" customHeight="1">
      <x:c r="A20" s="14" t="str">
        <x:v>5930 FLORAVILLE RD, MILLSTADT, IL 62260
Parcel 12-22.0-200-011</x:v>
      </x:c>
      <x:c r="B20" s="15" t="n">
        <x:v>63.66</x:v>
      </x:c>
      <x:c r="C20" s="15" t="n">
        <x:v>212.19</x:v>
      </x:c>
      <x:c r="D20" s="13" t="n">
        <x:f>ROUND(C20-B20,2)</x:f>
        <x:v>148.53</x:v>
      </x:c>
    </x:row>
    <x:row r="21" ht="46" customHeight="1">
      <x:c r="A21" s="9" t="str">
        <x:v>5959 FLORAVILLE RD, MILLSTADT, IL 62260</x:v>
      </x:c>
      <x:c r="B21" s="11" t="n">
        <x:v>44.84</x:v>
      </x:c>
      <x:c r="C21" s="11" t="n">
        <x:v>149.46</x:v>
      </x:c>
      <x:c r="D21" s="13" t="n">
        <x:f>ROUND(C21-B21,2)</x:f>
        <x:v>104.62</x:v>
      </x:c>
    </x:row>
    <x:row r="22" ht="46" customHeight="1">
      <x:c r="A22" s="14" t="str">
        <x:v>3620 MUELLER LN, MILLSTADT, IL 62260</x:v>
      </x:c>
      <x:c r="B22" s="15" t="n">
        <x:v>50.66</x:v>
      </x:c>
      <x:c r="C22" s="15" t="n">
        <x:v>168.87</x:v>
      </x:c>
      <x:c r="D22" s="13" t="n">
        <x:f>ROUND(C22-B22,2)</x:f>
        <x:v>118.21</x:v>
      </x:c>
    </x:row>
    <x:row r="23" ht="46" customHeight="1">
      <x:c r="A23" s="9" t="str">
        <x:v>3628 MUELLER LN, MILLSTADT, IL 62260</x:v>
      </x:c>
      <x:c r="B23" s="11" t="n">
        <x:v>93.87</x:v>
      </x:c>
      <x:c r="C23" s="11" t="n">
        <x:v>312.89</x:v>
      </x:c>
      <x:c r="D23" s="13" t="n">
        <x:f>ROUND(C23-B23,2)</x:f>
        <x:v>219.02</x:v>
      </x:c>
    </x:row>
    <x:row r="24" ht="46" customHeight="1">
      <x:c r="A24" s="14" t="str">
        <x:v>3722 MUELLER LN, MILLSTADT, IL 62260</x:v>
      </x:c>
      <x:c r="B24" s="15" t="n">
        <x:v>64.82</x:v>
      </x:c>
      <x:c r="C24" s="15" t="n">
        <x:v>216.08</x:v>
      </x:c>
      <x:c r="D24" s="13" t="n">
        <x:f>ROUND(C24-B24,2)</x:f>
        <x:v>151.26</x:v>
      </x:c>
    </x:row>
    <x:row r="25" ht="46" customHeight="1">
      <x:c r="A25" s="9" t="str">
        <x:v>5254 RUDY LN, MILLSTADT, IL 62260</x:v>
      </x:c>
      <x:c r="B25" s="11" t="n">
        <x:v>9.88</x:v>
      </x:c>
      <x:c r="C25" s="11" t="n">
        <x:v>32.95</x:v>
      </x:c>
      <x:c r="D25" s="13" t="n">
        <x:f>ROUND(C25-B25,2)</x:f>
        <x:v>23.07</x:v>
      </x:c>
    </x:row>
    <x:row r="26" ht="46" customHeight="1">
      <x:c r="A26" s="14" t="str">
        <x:v>5815 RUDY LN, MILLSTADT, IL 62260</x:v>
      </x:c>
      <x:c r="B26" s="15" t="n">
        <x:v>70.47</x:v>
      </x:c>
      <x:c r="C26" s="15" t="n">
        <x:v>234.9</x:v>
      </x:c>
      <x:c r="D26" s="13" t="n">
        <x:f>ROUND(C26-B26,2)</x:f>
        <x:v>164.43</x:v>
      </x:c>
    </x:row>
    <x:row r="27" ht="46" customHeight="1">
      <x:c r="A27" s="9" t="str">
        <x:v>5828 RUDY LN, MILLSTADT, IL 62260</x:v>
      </x:c>
      <x:c r="B27" s="11" t="n">
        <x:v>89.81</x:v>
      </x:c>
      <x:c r="C27" s="11" t="n">
        <x:v>299.36</x:v>
      </x:c>
      <x:c r="D27" s="13" t="n">
        <x:f>ROUND(C27-B27,2)</x:f>
        <x:v>209.55</x:v>
      </x:c>
    </x:row>
  </x:sheetData>
  <x:sheetProtection algorithmName="SHA-512" hashValue="3vyaOaob1ADsi0dNDqLG63JNin5YTrYrKBkgwOYUjucL+PoF16SLCnMf2OtEH49f532qQHe2Ulnm45ZoX8qGZg==" saltValue="q7WRZy4uv0wSrKN+es8sFQ==" spinCount="100000" sheet="1" objects="1" scenarios="1"/>
  <x:pageMargins left="0.7" right="0.7" top="0.75" bottom="0.75" header="0.3" footer="0.3"/>
</x:worksheet>
</file>