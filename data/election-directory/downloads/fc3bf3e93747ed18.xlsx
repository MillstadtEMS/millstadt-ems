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3009b1fb394222" /></Relationships>
</file>

<file path=xl/workbook.xml><?xml version="1.0" encoding="utf-8"?>
<x:workbook xmlns:x="http://schemas.openxmlformats.org/spreadsheetml/2006/main">
  <x:workbookProtection workbookAlgorithmName="SHA-512" workbookHashValue="QLY2UKkb46zarG1WwTIk0kTAWQEYR1PhF729dg38bHVVGaFow9GfUCWJ268e+B/V174pYJEwoQsxAHSqgNK5fw==" workbookSaltValue="eDK3TjDQe/an7qWQSz+Nzw==" workbookSpinCount="100000" lockStructure="1"/>
  <x:sheets>
    <x:sheet xmlns:r="http://schemas.openxmlformats.org/officeDocument/2006/relationships" name="Annual EMS taxes" sheetId="1" r:id="R35990d3267cb41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34c9a9621d4317" /><Relationship Type="http://schemas.openxmlformats.org/officeDocument/2006/relationships/theme" Target="/xl/theme/theme1.xml" Id="R8fd6702e1a694a7b" /><Relationship Type="http://schemas.openxmlformats.org/officeDocument/2006/relationships/sharedStrings" Target="/xl/sharedStrings.xml" Id="Re2e769f024fa42bc" /><Relationship Type="http://schemas.openxmlformats.org/officeDocument/2006/relationships/worksheet" Target="/xl/worksheets/sheet1.xml" Id="R35990d3267cb41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IDOUX TRACTS A. P.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1124 EILER RD, BELLEVILLE, IL 62223</x:v>
      </x:c>
      <x:c r="B7" s="11" t="n">
        <x:v>38.43</x:v>
      </x:c>
      <x:c r="C7" s="11" t="n">
        <x:v>128.09</x:v>
      </x:c>
      <x:c r="D7" s="13" t="n">
        <x:f>ROUND(C7-B7,2)</x:f>
        <x:v>89.66</x:v>
      </x:c>
    </x:row>
    <x:row r="8" ht="46" customHeight="1">
      <x:c r="A8" s="14" t="str">
        <x:v>1200 EILER RD, BELLEVILLE, IL 62223</x:v>
      </x:c>
      <x:c r="B8" s="15" t="n">
        <x:v>90.08</x:v>
      </x:c>
      <x:c r="C8" s="15" t="n">
        <x:v>300.27</x:v>
      </x:c>
      <x:c r="D8" s="13" t="n">
        <x:f>ROUND(C8-B8,2)</x:f>
        <x:v>210.19</x:v>
      </x:c>
    </x:row>
    <x:row r="9" ht="46" customHeight="1">
      <x:c r="A9" s="9" t="str">
        <x:v>1204 EILER RD, BELLEVILLE, IL 62223</x:v>
      </x:c>
      <x:c r="B9" s="11" t="n">
        <x:v>46.8</x:v>
      </x:c>
      <x:c r="C9" s="11" t="n">
        <x:v>155.99</x:v>
      </x:c>
      <x:c r="D9" s="13" t="n">
        <x:f>ROUND(C9-B9,2)</x:f>
        <x:v>109.19</x:v>
      </x:c>
    </x:row>
    <x:row r="10" ht="46" customHeight="1">
      <x:c r="A10" s="14" t="str">
        <x:v>1208 EILER RD, BELLEVILLE, IL 62223</x:v>
      </x:c>
      <x:c r="B10" s="15" t="n">
        <x:v>41.68</x:v>
      </x:c>
      <x:c r="C10" s="15" t="n">
        <x:v>138.92</x:v>
      </x:c>
      <x:c r="D10" s="13" t="n">
        <x:f>ROUND(C10-B10,2)</x:f>
        <x:v>97.24</x:v>
      </x:c>
    </x:row>
    <x:row r="11" ht="46" customHeight="1">
      <x:c r="A11" s="9" t="str">
        <x:v>1313 EILER RD, BELLEVILLE, IL 62223</x:v>
      </x:c>
      <x:c r="B11" s="11" t="n">
        <x:v>57.2</x:v>
      </x:c>
      <x:c r="C11" s="11" t="n">
        <x:v>190.68</x:v>
      </x:c>
      <x:c r="D11" s="13" t="n">
        <x:f>ROUND(C11-B11,2)</x:f>
        <x:v>133.48</x:v>
      </x:c>
    </x:row>
    <x:row r="12" ht="46" customHeight="1">
      <x:c r="A12" s="14" t="str">
        <x:v>1317 EILER RD, BELLEVILLE, IL 62223</x:v>
      </x:c>
      <x:c r="B12" s="15" t="n">
        <x:v>36.92</x:v>
      </x:c>
      <x:c r="C12" s="15" t="n">
        <x:v>123.06</x:v>
      </x:c>
      <x:c r="D12" s="13" t="n">
        <x:f>ROUND(C12-B12,2)</x:f>
        <x:v>86.14</x:v>
      </x:c>
    </x:row>
    <x:row r="13" ht="46" customHeight="1">
      <x:c r="A13" s="9" t="str">
        <x:v>1325 EILER RD, BELLEVILLE, IL 62223
Parcel 07-16.0-201-010</x:v>
      </x:c>
      <x:c r="B13" s="11" t="n">
        <x:v>74.66</x:v>
      </x:c>
      <x:c r="C13" s="11" t="n">
        <x:v>248.87</x:v>
      </x:c>
      <x:c r="D13" s="13" t="n">
        <x:f>ROUND(C13-B13,2)</x:f>
        <x:v>174.21</x:v>
      </x:c>
    </x:row>
    <x:row r="14" ht="46" customHeight="1">
      <x:c r="A14" s="14" t="str">
        <x:v>1325 EILER RD, BELLEVILLE, IL 62223
Parcel 07-16.0-201-018</x:v>
      </x:c>
      <x:c r="B14" s="15" t="n">
        <x:v>32.36</x:v>
      </x:c>
      <x:c r="C14" s="15" t="n">
        <x:v>107.87</x:v>
      </x:c>
      <x:c r="D14" s="13" t="n">
        <x:f>ROUND(C14-B14,2)</x:f>
        <x:v>75.51</x:v>
      </x:c>
    </x:row>
    <x:row r="15" ht="46" customHeight="1">
      <x:c r="A15" s="9" t="str">
        <x:v>1401 EILER RD, BELLEVILLE, IL 62223</x:v>
      </x:c>
      <x:c r="B15" s="11" t="n">
        <x:v>44.26</x:v>
      </x:c>
      <x:c r="C15" s="11" t="n">
        <x:v>147.53</x:v>
      </x:c>
      <x:c r="D15" s="13" t="n">
        <x:f>ROUND(C15-B15,2)</x:f>
        <x:v>103.27</x:v>
      </x:c>
    </x:row>
    <x:row r="16" ht="46" customHeight="1">
      <x:c r="A16" s="14" t="str">
        <x:v>1404 EILER RD, BELLEVILLE, IL 62223</x:v>
      </x:c>
      <x:c r="B16" s="15" t="n">
        <x:v>48.56</x:v>
      </x:c>
      <x:c r="C16" s="15" t="n">
        <x:v>161.87</x:v>
      </x:c>
      <x:c r="D16" s="13" t="n">
        <x:f>ROUND(C16-B16,2)</x:f>
        <x:v>113.31</x:v>
      </x:c>
    </x:row>
  </x:sheetData>
  <x:sheetProtection algorithmName="SHA-512" hashValue="QLY2UKkb46zarG1WwTIk0kTAWQEYR1PhF729dg38bHVVGaFow9GfUCWJ268e+B/V174pYJEwoQsxAHSqgNK5fw==" saltValue="eDK3TjDQe/an7qWQSz+Nzw==" spinCount="100000" sheet="1" objects="1" scenarios="1"/>
  <x:pageMargins left="0.7" right="0.7" top="0.75" bottom="0.75" header="0.3" footer="0.3"/>
</x:worksheet>
</file>