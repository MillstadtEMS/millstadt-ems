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214458ae954671" /></Relationships>
</file>

<file path=xl/workbook.xml><?xml version="1.0" encoding="utf-8"?>
<x:workbook xmlns:x="http://schemas.openxmlformats.org/spreadsheetml/2006/main">
  <x:workbookProtection workbookAlgorithmName="SHA-512" workbookHashValue="aEKatj1Y1doT3Zky0z35ilejLv1obAU84fi78WRBcyDmXs4B/Xut6Lrx2aMGVPv0JHrWSWS16y35SjDoyqxYCQ==" workbookSaltValue="Y/bE7WByyV0geURSsp2evA==" workbookSpinCount="100000" lockStructure="1"/>
  <x:sheets>
    <x:sheet xmlns:r="http://schemas.openxmlformats.org/officeDocument/2006/relationships" name="Annual EMS taxes" sheetId="1" r:id="R1ba7b8e5ad0b4fa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$&quot;#,##0.00"/>
  </x:numFmts>
  <x:fonts count="6">
    <x:font>
      <x:sz val="11"/>
      <x:name val="Carlito"/>
    </x:font>
    <x:font>
      <x:sz val="11"/>
      <x:color rgb="FF172A43"/>
      <x:name val="Arial"/>
    </x:font>
    <x:font>
      <x:b/>
      <x:sz val="15"/>
      <x:color rgb="FF0A1E3D"/>
      <x:name val="Arial"/>
    </x:font>
    <x:font>
      <x:sz val="10"/>
      <x:color rgb="FF52647B"/>
      <x:name val="Arial"/>
    </x:font>
    <x:font>
      <x:b/>
      <x:sz val="11"/>
      <x:color rgb="FFFFFFFF"/>
      <x:name val="Arial"/>
    </x:font>
    <x:font>
      <x:b/>
      <x:sz val="11"/>
      <x:color rgb="FF172A43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0A1E3D"/>
      </x:patternFill>
    </x:fill>
    <x:fill>
      <x:patternFill patternType="solid">
        <x:fgColor rgb="FFFFF2CE"/>
      </x:patternFill>
    </x:fill>
    <x:fill>
      <x:patternFill patternType="solid">
        <x:fgColor rgb="FFF2F5F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 applyProtection="1">
      <x:protection locked="1" hidden="0"/>
    </x:xf>
    <x:xf numFmtId="0" fontId="1" fillId="0" borderId="0" xfId="0" applyNumberFormat="1" applyFont="1" applyFill="1" applyBorder="1" applyProtection="1">
      <x:protection locked="1" hidden="0"/>
    </x:xf>
    <x:xf numFmtId="0" fontId="1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 wrapText="1"/>
      <x:protection locked="1" hidden="0"/>
    </x:xf>
    <x:xf numFmtId="0" fontId="3" fillId="0" borderId="0" xfId="0" applyNumberFormat="1" applyFont="1" applyFill="1" applyBorder="1" applyAlignment="1" applyProtection="1">
      <x:alignment vertical="center"/>
      <x:protection locked="1" hidden="0"/>
    </x:xf>
    <x:xf numFmtId="0" fontId="1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horizontal="center" vertical="center"/>
      <x:protection locked="1" hidden="0"/>
    </x:xf>
    <x:xf numFmtId="0" fontId="1" fillId="0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0" borderId="0" xfId="0" applyNumberFormat="1" applyFont="1" applyFill="1" applyBorder="1" applyAlignment="1" applyProtection="1">
      <x:alignment vertical="center"/>
      <x:protection locked="1" hidden="0"/>
    </x:xf>
    <x:xf numFmtId="200" fontId="1" fillId="0" borderId="0" xfId="0" applyNumberFormat="1" applyFont="1" applyFill="1" applyBorder="1" applyAlignment="1" applyProtection="1">
      <x:alignment horizontal="right" vertical="center"/>
      <x:protection locked="1" hidden="0"/>
    </x:xf>
    <x:xf numFmtId="200" fontId="1" fillId="3" borderId="0" xfId="0" applyNumberFormat="1" applyFont="1" applyFill="1" applyBorder="1" applyAlignment="1" applyProtection="1">
      <x:alignment horizontal="right" vertical="center"/>
      <x:protection locked="1" hidden="0"/>
    </x:xf>
    <x:xf numFmtId="200" fontId="5" fillId="3" borderId="0" xfId="0" applyNumberFormat="1" applyFont="1" applyFill="1" applyBorder="1" applyAlignment="1" applyProtection="1">
      <x:alignment horizontal="right" vertical="center"/>
      <x:protection locked="1" hidden="0"/>
    </x:xf>
    <x:xf numFmtId="0" fontId="1" fillId="4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4" borderId="0" xfId="0" applyNumberFormat="1" applyFont="1" applyFill="1" applyBorder="1" applyAlignment="1" applyProtection="1">
      <x:alignment horizontal="right" vertical="center"/>
      <x:protection locked="1" hidden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a34d03b04b548f0" /><Relationship Type="http://schemas.openxmlformats.org/officeDocument/2006/relationships/theme" Target="/xl/theme/theme1.xml" Id="R644eeb131bf74b0f" /><Relationship Type="http://schemas.openxmlformats.org/officeDocument/2006/relationships/sharedStrings" Target="/xl/sharedStrings.xml" Id="R47ef25135caa49db" /><Relationship Type="http://schemas.openxmlformats.org/officeDocument/2006/relationships/worksheet" Target="/xl/worksheets/sheet1.xml" Id="R1ba7b8e5ad0b4fa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A1E3D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57.779998779296875" hidden="0" customWidth="1"/>
    <x:col min="2" max="2" width="21.110000610351562" hidden="0" customWidth="1"/>
    <x:col min="3" max="3" width="21.110000610351562" hidden="0" customWidth="1"/>
    <x:col min="4" max="4" width="21.110000610351562" hidden="0" customWidth="1"/>
  </x:cols>
  <x:sheetData>
    <x:row r="1" ht="32" customHeight="1">
      <x:c r="A1" s="2"/>
      <x:c r="B1" s="2"/>
      <x:c r="C1" s="2"/>
      <x:c r="D1" s="2"/>
    </x:row>
    <x:row r="2" ht="30" customHeight="1">
      <x:c r="A2" s="4" t="str">
        <x:v>MILLSTADT TWP SEC 2</x:v>
      </x:c>
      <x:c r="B2" s="2"/>
      <x:c r="C2" s="2"/>
      <x:c r="D2" s="2"/>
    </x:row>
    <x:row r="3" ht="32" customHeight="1">
      <x:c r="A3" s="5" t="str">
        <x:v>Millstadt EMS · Annual estimates using county 2025 taxable values</x:v>
      </x:c>
      <x:c r="B3" s="2"/>
      <x:c r="C3" s="2"/>
      <x:c r="D3" s="2"/>
    </x:row>
    <x:row r="4" ht="32" customHeight="1">
      <x:c r="A4" s="5" t="str">
        <x:v>Planned ESD rate: 0.30%. Baseline uses the existing ambulance levy offset.</x:v>
      </x:c>
      <x:c r="B4" s="2"/>
      <x:c r="C4" s="2"/>
      <x:c r="D4" s="2"/>
    </x:row>
    <x:row r="5" ht="32" customHeight="1">
      <x:c r="A5" s="2"/>
      <x:c r="B5" s="2"/>
      <x:c r="C5" s="2"/>
      <x:c r="D5" s="2"/>
    </x:row>
    <x:row r="6" ht="34" customHeight="1">
      <x:c r="A6" s="8" t="str">
        <x:v>Address</x:v>
      </x:c>
      <x:c r="B6" s="8" t="str">
        <x:v>Baseline EMS tax</x:v>
      </x:c>
      <x:c r="C6" s="8" t="str">
        <x:v>EMS tax at 0.30%</x:v>
      </x:c>
      <x:c r="D6" s="8" t="str">
        <x:v>Annual increase</x:v>
      </x:c>
    </x:row>
    <x:row r="7" ht="46" customHeight="1">
      <x:c r="A7" s="9" t="str">
        <x:v>4802 CENTREVILLE AVE, MILLSTADT, IL 62260
Parcel 12-02.0-400-017</x:v>
      </x:c>
      <x:c r="B7" s="11" t="n">
        <x:v>58.42</x:v>
      </x:c>
      <x:c r="C7" s="11" t="n">
        <x:v>194.74</x:v>
      </x:c>
      <x:c r="D7" s="13" t="n">
        <x:f>ROUND(C7-B7,2)</x:f>
        <x:v>136.32</x:v>
      </x:c>
    </x:row>
    <x:row r="8" ht="46" customHeight="1">
      <x:c r="A8" s="14" t="str">
        <x:v>4808 CENTREVILLE AVE, MILLSTADT, IL 62260</x:v>
      </x:c>
      <x:c r="B8" s="15" t="n">
        <x:v>32.2</x:v>
      </x:c>
      <x:c r="C8" s="15" t="n">
        <x:v>107.32</x:v>
      </x:c>
      <x:c r="D8" s="13" t="n">
        <x:f>ROUND(C8-B8,2)</x:f>
        <x:v>75.12</x:v>
      </x:c>
    </x:row>
    <x:row r="9" ht="46" customHeight="1">
      <x:c r="A9" s="9" t="str">
        <x:v>4933 CENTREVILLE AVE, MILLSTADT, IL 62260</x:v>
      </x:c>
      <x:c r="B9" s="11" t="n">
        <x:v>80.29</x:v>
      </x:c>
      <x:c r="C9" s="11" t="n">
        <x:v>267.64</x:v>
      </x:c>
      <x:c r="D9" s="13" t="n">
        <x:f>ROUND(C9-B9,2)</x:f>
        <x:v>187.35</x:v>
      </x:c>
    </x:row>
    <x:row r="10" ht="46" customHeight="1">
      <x:c r="A10" s="14" t="str">
        <x:v>4451 FLORAVILLE RD, WATERLOO, IL 62298</x:v>
      </x:c>
      <x:c r="B10" s="15" t="n">
        <x:v>0</x:v>
      </x:c>
      <x:c r="C10" s="15" t="n">
        <x:v>0</x:v>
      </x:c>
      <x:c r="D10" s="13" t="n">
        <x:f>ROUND(C10-B10,2)</x:f>
        <x:v>0</x:v>
      </x:c>
    </x:row>
    <x:row r="11" ht="46" customHeight="1">
      <x:c r="A11" s="9" t="str">
        <x:v>4500 FLORAVILLE RD, WATERLOO, IL 62298</x:v>
      </x:c>
      <x:c r="B11" s="11" t="n">
        <x:v>53.6</x:v>
      </x:c>
      <x:c r="C11" s="11" t="n">
        <x:v>178.66</x:v>
      </x:c>
      <x:c r="D11" s="13" t="n">
        <x:f>ROUND(C11-B11,2)</x:f>
        <x:v>125.06</x:v>
      </x:c>
    </x:row>
    <x:row r="12" ht="46" customHeight="1">
      <x:c r="A12" s="14" t="str">
        <x:v>4522 FLORAVILLE RD, WATERLOO, IL 62298</x:v>
      </x:c>
      <x:c r="B12" s="15" t="n">
        <x:v>64.63</x:v>
      </x:c>
      <x:c r="C12" s="15" t="n">
        <x:v>215.42</x:v>
      </x:c>
      <x:c r="D12" s="13" t="n">
        <x:f>ROUND(C12-B12,2)</x:f>
        <x:v>150.79</x:v>
      </x:c>
    </x:row>
    <x:row r="13" ht="46" customHeight="1">
      <x:c r="A13" s="9" t="str">
        <x:v>4533 FLORAVILLE RD, WATERLOO, IL 62298</x:v>
      </x:c>
      <x:c r="B13" s="11" t="n">
        <x:v>25.46</x:v>
      </x:c>
      <x:c r="C13" s="11" t="n">
        <x:v>84.88</x:v>
      </x:c>
      <x:c r="D13" s="13" t="n">
        <x:f>ROUND(C13-B13,2)</x:f>
        <x:v>59.42</x:v>
      </x:c>
    </x:row>
    <x:row r="14" ht="46" customHeight="1">
      <x:c r="A14" s="14" t="str">
        <x:v>4568 FLORAVILLE RD, WATERLOO, IL 62298</x:v>
      </x:c>
      <x:c r="B14" s="15" t="n">
        <x:v>24.66</x:v>
      </x:c>
      <x:c r="C14" s="15" t="n">
        <x:v>82.22</x:v>
      </x:c>
      <x:c r="D14" s="13" t="n">
        <x:f>ROUND(C14-B14,2)</x:f>
        <x:v>57.56</x:v>
      </x:c>
    </x:row>
    <x:row r="15" ht="46" customHeight="1">
      <x:c r="A15" s="9" t="str">
        <x:v>4606 FLORAVILLE RD, MILLSTADT, IL 62260</x:v>
      </x:c>
      <x:c r="B15" s="11" t="n">
        <x:v>0</x:v>
      </x:c>
      <x:c r="C15" s="11" t="n">
        <x:v>0</x:v>
      </x:c>
      <x:c r="D15" s="13" t="n">
        <x:f>ROUND(C15-B15,2)</x:f>
        <x:v>0</x:v>
      </x:c>
    </x:row>
    <x:row r="16" ht="46" customHeight="1">
      <x:c r="A16" s="14" t="str">
        <x:v>4607 FLORAVILLE RD, MILLSTADT, IL 62260</x:v>
      </x:c>
      <x:c r="B16" s="15" t="n">
        <x:v>33.62</x:v>
      </x:c>
      <x:c r="C16" s="15" t="n">
        <x:v>112.08</x:v>
      </x:c>
      <x:c r="D16" s="13" t="n">
        <x:f>ROUND(C16-B16,2)</x:f>
        <x:v>78.46</x:v>
      </x:c>
    </x:row>
    <x:row r="17" ht="46" customHeight="1">
      <x:c r="A17" s="9" t="str">
        <x:v>4618 FLORAVILLE RD, MILLSTADT, IL 62260</x:v>
      </x:c>
      <x:c r="B17" s="11" t="n">
        <x:v>89.29</x:v>
      </x:c>
      <x:c r="C17" s="11" t="n">
        <x:v>297.65</x:v>
      </x:c>
      <x:c r="D17" s="13" t="n">
        <x:f>ROUND(C17-B17,2)</x:f>
        <x:v>208.36</x:v>
      </x:c>
    </x:row>
    <x:row r="18" ht="46" customHeight="1">
      <x:c r="A18" s="14" t="str">
        <x:v>4622 FLORAVILLE RD, MILLSTADT, IL 62260</x:v>
      </x:c>
      <x:c r="B18" s="15" t="n">
        <x:v>146.03</x:v>
      </x:c>
      <x:c r="C18" s="15" t="n">
        <x:v>486.78</x:v>
      </x:c>
      <x:c r="D18" s="13" t="n">
        <x:f>ROUND(C18-B18,2)</x:f>
        <x:v>340.75</x:v>
      </x:c>
    </x:row>
    <x:row r="19" ht="46" customHeight="1">
      <x:c r="A19" s="9" t="str">
        <x:v>4630 FLORAVILLE RD, MILLSTADT, IL 62260</x:v>
      </x:c>
      <x:c r="B19" s="11" t="n">
        <x:v>127.7</x:v>
      </x:c>
      <x:c r="C19" s="11" t="n">
        <x:v>425.66</x:v>
      </x:c>
      <x:c r="D19" s="13" t="n">
        <x:f>ROUND(C19-B19,2)</x:f>
        <x:v>297.96</x:v>
      </x:c>
    </x:row>
    <x:row r="20" ht="46" customHeight="1">
      <x:c r="A20" s="14" t="str">
        <x:v>4647 FLORAVILLE RD, MILLSTADT, IL 62260</x:v>
      </x:c>
      <x:c r="B20" s="15" t="n">
        <x:v>46.78</x:v>
      </x:c>
      <x:c r="C20" s="15" t="n">
        <x:v>155.93</x:v>
      </x:c>
      <x:c r="D20" s="13" t="n">
        <x:f>ROUND(C20-B20,2)</x:f>
        <x:v>109.15</x:v>
      </x:c>
    </x:row>
    <x:row r="21" ht="46" customHeight="1">
      <x:c r="A21" s="9" t="str">
        <x:v>4805 FLORAVILLE RD, MILLSTADT, IL 62260</x:v>
      </x:c>
      <x:c r="B21" s="11" t="n">
        <x:v>0</x:v>
      </x:c>
      <x:c r="C21" s="11" t="n">
        <x:v>0</x:v>
      </x:c>
      <x:c r="D21" s="13" t="n">
        <x:f>ROUND(C21-B21,2)</x:f>
        <x:v>0</x:v>
      </x:c>
    </x:row>
    <x:row r="22" ht="46" customHeight="1">
      <x:c r="A22" s="14" t="str">
        <x:v>4230 FRITZINGER LN, MILLSTADT, IL 62260</x:v>
      </x:c>
      <x:c r="B22" s="15" t="n">
        <x:v>110.75</x:v>
      </x:c>
      <x:c r="C22" s="15" t="n">
        <x:v>369.17</x:v>
      </x:c>
      <x:c r="D22" s="13" t="n">
        <x:f>ROUND(C22-B22,2)</x:f>
        <x:v>258.42</x:v>
      </x:c>
    </x:row>
    <x:row r="23" ht="46" customHeight="1">
      <x:c r="A23" s="9" t="str">
        <x:v>4249 FRITZINGER LN, MILLSTADT, IL 62260</x:v>
      </x:c>
      <x:c r="B23" s="11" t="n">
        <x:v>81.06</x:v>
      </x:c>
      <x:c r="C23" s="11" t="n">
        <x:v>270.19</x:v>
      </x:c>
      <x:c r="D23" s="13" t="n">
        <x:f>ROUND(C23-B23,2)</x:f>
        <x:v>189.13</x:v>
      </x:c>
    </x:row>
    <x:row r="24" ht="46" customHeight="1">
      <x:c r="A24" s="14" t="str">
        <x:v>4254 FRITZINGER LN, MILLSTADT, IL 62260</x:v>
      </x:c>
      <x:c r="B24" s="15" t="n">
        <x:v>93.53</x:v>
      </x:c>
      <x:c r="C24" s="15" t="n">
        <x:v>311.78</x:v>
      </x:c>
      <x:c r="D24" s="13" t="n">
        <x:f>ROUND(C24-B24,2)</x:f>
        <x:v>218.25</x:v>
      </x:c>
    </x:row>
    <x:row r="25" ht="46" customHeight="1">
      <x:c r="A25" s="9" t="str">
        <x:v>419 KRISTA LN, MILLSTADT, IL 62260</x:v>
      </x:c>
      <x:c r="B25" s="11" t="n">
        <x:v>3.87</x:v>
      </x:c>
      <x:c r="C25" s="11" t="n">
        <x:v>12.91</x:v>
      </x:c>
      <x:c r="D25" s="13" t="n">
        <x:f>ROUND(C25-B25,2)</x:f>
        <x:v>9.04</x:v>
      </x:c>
    </x:row>
    <x:row r="26" ht="46" customHeight="1">
      <x:c r="A26" s="14" t="str">
        <x:v>422 KRISTA LN, MILLSTADT, IL 62260</x:v>
      </x:c>
      <x:c r="B26" s="15" t="n">
        <x:v>43.1</x:v>
      </x:c>
      <x:c r="C26" s="15" t="n">
        <x:v>143.66</x:v>
      </x:c>
      <x:c r="D26" s="13" t="n">
        <x:f>ROUND(C26-B26,2)</x:f>
        <x:v>100.56</x:v>
      </x:c>
    </x:row>
    <x:row r="27" ht="46" customHeight="1">
      <x:c r="A27" s="9" t="str">
        <x:v>3947 LOWER SAXTOWN RD, WATERLOO, IL 62298</x:v>
      </x:c>
      <x:c r="B27" s="11" t="n">
        <x:v>102.17</x:v>
      </x:c>
      <x:c r="C27" s="11" t="n">
        <x:v>340.58</x:v>
      </x:c>
      <x:c r="D27" s="13" t="n">
        <x:f>ROUND(C27-B27,2)</x:f>
        <x:v>238.41</x:v>
      </x:c>
    </x:row>
    <x:row r="28" ht="46" customHeight="1">
      <x:c r="A28" s="14" t="str">
        <x:v>3959 LOWER SAXTOWN RD, WATERLOO, IL 62298</x:v>
      </x:c>
      <x:c r="B28" s="15" t="n">
        <x:v>84.51</x:v>
      </x:c>
      <x:c r="C28" s="15" t="n">
        <x:v>281.7</x:v>
      </x:c>
      <x:c r="D28" s="13" t="n">
        <x:f>ROUND(C28-B28,2)</x:f>
        <x:v>197.19</x:v>
      </x:c>
    </x:row>
    <x:row r="29" ht="46" customHeight="1">
      <x:c r="A29" s="9" t="str">
        <x:v>4122 LOWER SAXTOWN RD, WATERLOO, IL 62298</x:v>
      </x:c>
      <x:c r="B29" s="11" t="n">
        <x:v>32.44</x:v>
      </x:c>
      <x:c r="C29" s="11" t="n">
        <x:v>108.14</x:v>
      </x:c>
      <x:c r="D29" s="13" t="n">
        <x:f>ROUND(C29-B29,2)</x:f>
        <x:v>75.7</x:v>
      </x:c>
    </x:row>
    <x:row r="30" ht="46" customHeight="1">
      <x:c r="A30" s="14" t="str">
        <x:v>6741 MINE HAUL RD, BELLEVILLE, IL 62223
Parcel 12-02.0-200-005</x:v>
      </x:c>
      <x:c r="B30" s="15" t="n">
        <x:v>8.29</x:v>
      </x:c>
      <x:c r="C30" s="15" t="n">
        <x:v>27.62</x:v>
      </x:c>
      <x:c r="D30" s="13" t="n">
        <x:f>ROUND(C30-B30,2)</x:f>
        <x:v>19.33</x:v>
      </x:c>
    </x:row>
    <x:row r="31" ht="46" customHeight="1">
      <x:c r="A31" s="9" t="str">
        <x:v>6890 MINE HAUL RD, BELLEVILLE, IL 62223</x:v>
      </x:c>
      <x:c r="B31" s="11" t="n">
        <x:v>15.88</x:v>
      </x:c>
      <x:c r="C31" s="11" t="n">
        <x:v>52.94</x:v>
      </x:c>
      <x:c r="D31" s="13" t="n">
        <x:f>ROUND(C31-B31,2)</x:f>
        <x:v>37.06</x:v>
      </x:c>
    </x:row>
    <x:row r="32" ht="46" customHeight="1">
      <x:c r="A32" s="14" t="str">
        <x:v>7016 MINE HAUL RD, BELLEVILLE, IL 62223
Parcel 12-02.0-200-017</x:v>
      </x:c>
      <x:c r="B32" s="15" t="n">
        <x:v>34.9</x:v>
      </x:c>
      <x:c r="C32" s="15" t="n">
        <x:v>116.34</x:v>
      </x:c>
      <x:c r="D32" s="13" t="n">
        <x:f>ROUND(C32-B32,2)</x:f>
        <x:v>81.44</x:v>
      </x:c>
    </x:row>
    <x:row r="33" ht="46" customHeight="1">
      <x:c r="A33" s="9" t="str">
        <x:v>7022 MINE HAUL RD, BELLEVILLE, IL 62223
Parcel 12-02.0-200-018</x:v>
      </x:c>
      <x:c r="B33" s="11" t="n">
        <x:v>81.96</x:v>
      </x:c>
      <x:c r="C33" s="11" t="n">
        <x:v>273.22</x:v>
      </x:c>
      <x:c r="D33" s="13" t="n">
        <x:f>ROUND(C33-B33,2)</x:f>
        <x:v>191.26</x:v>
      </x:c>
    </x:row>
    <x:row r="34" ht="46" customHeight="1">
      <x:c r="A34" s="14" t="str">
        <x:v>6710 RED BARN FARMS LN, MILLSTADT, IL 62260</x:v>
      </x:c>
      <x:c r="B34" s="15" t="n">
        <x:v>131.22</x:v>
      </x:c>
      <x:c r="C34" s="15" t="n">
        <x:v>437.41</x:v>
      </x:c>
      <x:c r="D34" s="13" t="n">
        <x:f>ROUND(C34-B34,2)</x:f>
        <x:v>306.19</x:v>
      </x:c>
    </x:row>
    <x:row r="35" ht="46" customHeight="1">
      <x:c r="A35" s="9" t="str">
        <x:v>4252 SUNDANCE LN, MILLSTADT, IL 62260</x:v>
      </x:c>
      <x:c r="B35" s="11" t="n">
        <x:v>37.44</x:v>
      </x:c>
      <x:c r="C35" s="11" t="n">
        <x:v>124.81</x:v>
      </x:c>
      <x:c r="D35" s="13" t="n">
        <x:f>ROUND(C35-B35,2)</x:f>
        <x:v>87.37</x:v>
      </x:c>
    </x:row>
    <x:row r="36" ht="46" customHeight="1">
      <x:c r="A36" s="14" t="str">
        <x:v>4253 SUNDANCE LN, MILLSTADT, IL 62260
Parcel 16-02.0-200-013</x:v>
      </x:c>
      <x:c r="B36" s="15" t="n">
        <x:v>97.83</x:v>
      </x:c>
      <x:c r="C36" s="15" t="n">
        <x:v>326.1</x:v>
      </x:c>
      <x:c r="D36" s="13" t="n">
        <x:f>ROUND(C36-B36,2)</x:f>
        <x:v>228.27</x:v>
      </x:c>
    </x:row>
    <x:row r="37" ht="46" customHeight="1">
      <x:c r="A37" s="9" t="str">
        <x:v>4253 SUNDANCE LN, MILLSTADT, IL 62260
Parcel 16-02.0-200-035</x:v>
      </x:c>
      <x:c r="B37" s="11" t="n">
        <x:v>0.5</x:v>
      </x:c>
      <x:c r="C37" s="11" t="n">
        <x:v>1.67</x:v>
      </x:c>
      <x:c r="D37" s="13" t="n">
        <x:f>ROUND(C37-B37,2)</x:f>
        <x:v>1.17</x:v>
      </x:c>
    </x:row>
    <x:row r="38" ht="46" customHeight="1">
      <x:c r="A38" s="14" t="str">
        <x:v>4260 SUNDANCE LN, MILLSTADT, IL 62260</x:v>
      </x:c>
      <x:c r="B38" s="15" t="n">
        <x:v>121.03</x:v>
      </x:c>
      <x:c r="C38" s="15" t="n">
        <x:v>403.44</x:v>
      </x:c>
      <x:c r="D38" s="13" t="n">
        <x:f>ROUND(C38-B38,2)</x:f>
        <x:v>282.41</x:v>
      </x:c>
    </x:row>
    <x:row r="39" ht="46" customHeight="1">
      <x:c r="A39" s="9" t="str">
        <x:v>4276 SUNDANCE LN, MILLSTADT, IL 62260</x:v>
      </x:c>
      <x:c r="B39" s="11" t="n">
        <x:v>100.09</x:v>
      </x:c>
      <x:c r="C39" s="11" t="n">
        <x:v>333.64</x:v>
      </x:c>
      <x:c r="D39" s="13" t="n">
        <x:f>ROUND(C39-B39,2)</x:f>
        <x:v>233.55</x:v>
      </x:c>
    </x:row>
    <x:row r="40" ht="46" customHeight="1">
      <x:c r="A40" s="14" t="str">
        <x:v>4277 SUNDANCE LN, MILLSTADT, IL 62260</x:v>
      </x:c>
      <x:c r="B40" s="15" t="n">
        <x:v>39.6</x:v>
      </x:c>
      <x:c r="C40" s="15" t="n">
        <x:v>132</x:v>
      </x:c>
      <x:c r="D40" s="13" t="n">
        <x:f>ROUND(C40-B40,2)</x:f>
        <x:v>92.4</x:v>
      </x:c>
    </x:row>
  </x:sheetData>
  <x:sheetProtection algorithmName="SHA-512" hashValue="aEKatj1Y1doT3Zky0z35ilejLv1obAU84fi78WRBcyDmXs4B/Xut6Lrx2aMGVPv0JHrWSWS16y35SjDoyqxYCQ==" saltValue="Y/bE7WByyV0geURSsp2evA==" spinCount="100000" sheet="1" objects="1" scenarios="1"/>
  <x:pageMargins left="0.7" right="0.7" top="0.75" bottom="0.75" header="0.3" footer="0.3"/>
</x:worksheet>
</file>