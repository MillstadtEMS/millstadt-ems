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9ed805da54ed3" /></Relationships>
</file>

<file path=xl/workbook.xml><?xml version="1.0" encoding="utf-8"?>
<x:workbook xmlns:x="http://schemas.openxmlformats.org/spreadsheetml/2006/main">
  <x:workbookProtection workbookAlgorithmName="SHA-512" workbookHashValue="IPYRpartrcoLhhEmVe5N7WUmBzZkODJivSkhnOQ6ypQ7XyhSfe7lVJ32p8llrG1myLepYkcOi51PfW/cwupkWw==" workbookSaltValue="86D/6mfc/2CY61WZxs/uFQ==" workbookSpinCount="100000" lockStructure="1"/>
  <x:sheets>
    <x:sheet xmlns:r="http://schemas.openxmlformats.org/officeDocument/2006/relationships" name="Annual EMS taxes" sheetId="1" r:id="R5ab7aae5ae9b4b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cfe0bc0124461" /><Relationship Type="http://schemas.openxmlformats.org/officeDocument/2006/relationships/theme" Target="/xl/theme/theme1.xml" Id="Rb14aec0226024c57" /><Relationship Type="http://schemas.openxmlformats.org/officeDocument/2006/relationships/sharedStrings" Target="/xl/sharedStrings.xml" Id="Rde8f13dc63da4015" /><Relationship Type="http://schemas.openxmlformats.org/officeDocument/2006/relationships/worksheet" Target="/xl/worksheets/sheet1.xml" Id="R5ab7aae5ae9b4b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MOORE; HOWARD R; TRACTS A. P.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 HOWARD DR, BELLEVILLE, IL 62223</x:v>
      </x:c>
      <x:c r="B7" s="11" t="n">
        <x:v>26.08</x:v>
      </x:c>
      <x:c r="C7" s="11" t="n">
        <x:v>86.93</x:v>
      </x:c>
      <x:c r="D7" s="13" t="n">
        <x:f>ROUND(C7-B7,2)</x:f>
        <x:v>60.85</x:v>
      </x:c>
    </x:row>
    <x:row r="8" ht="46" customHeight="1">
      <x:c r="A8" s="14" t="str">
        <x:v>10 HOWARD DR, BELLEVILLE, IL 62223</x:v>
      </x:c>
      <x:c r="B8" s="15" t="n">
        <x:v>22.88</x:v>
      </x:c>
      <x:c r="C8" s="15" t="n">
        <x:v>76.26</x:v>
      </x:c>
      <x:c r="D8" s="13" t="n">
        <x:f>ROUND(C8-B8,2)</x:f>
        <x:v>53.38</x:v>
      </x:c>
    </x:row>
    <x:row r="9" ht="46" customHeight="1">
      <x:c r="A9" s="9" t="str">
        <x:v>14 HOWARD DR, BELLEVILLE, IL 62223</x:v>
      </x:c>
      <x:c r="B9" s="11" t="n">
        <x:v>52.56</x:v>
      </x:c>
      <x:c r="C9" s="11" t="n">
        <x:v>175.2</x:v>
      </x:c>
      <x:c r="D9" s="13" t="n">
        <x:f>ROUND(C9-B9,2)</x:f>
        <x:v>122.64</x:v>
      </x:c>
    </x:row>
    <x:row r="10" ht="46" customHeight="1">
      <x:c r="A10" s="14" t="str">
        <x:v>18 HOWARD DR, BELLEVILLE, IL 62223</x:v>
      </x:c>
      <x:c r="B10" s="15" t="n">
        <x:v>36.68</x:v>
      </x:c>
      <x:c r="C10" s="15" t="n">
        <x:v>122.28</x:v>
      </x:c>
      <x:c r="D10" s="13" t="n">
        <x:f>ROUND(C10-B10,2)</x:f>
        <x:v>85.6</x:v>
      </x:c>
    </x:row>
    <x:row r="11" ht="46" customHeight="1">
      <x:c r="A11" s="9" t="str">
        <x:v>19 HOWARD DR, BELLEVILLE, IL 62223</x:v>
      </x:c>
      <x:c r="B11" s="11" t="n">
        <x:v>32.23</x:v>
      </x:c>
      <x:c r="C11" s="11" t="n">
        <x:v>107.44</x:v>
      </x:c>
      <x:c r="D11" s="13" t="n">
        <x:f>ROUND(C11-B11,2)</x:f>
        <x:v>75.21</x:v>
      </x:c>
    </x:row>
    <x:row r="12" ht="46" customHeight="1">
      <x:c r="A12" s="14" t="str">
        <x:v>22 HOWARD DR, BELLEVILLE, IL 62223</x:v>
      </x:c>
      <x:c r="B12" s="15" t="n">
        <x:v>45.5</x:v>
      </x:c>
      <x:c r="C12" s="15" t="n">
        <x:v>151.67</x:v>
      </x:c>
      <x:c r="D12" s="13" t="n">
        <x:f>ROUND(C12-B12,2)</x:f>
        <x:v>106.17</x:v>
      </x:c>
    </x:row>
    <x:row r="13" ht="46" customHeight="1">
      <x:c r="A13" s="9" t="str">
        <x:v>23 HOWARD DR, BELLEVILLE, IL 62223</x:v>
      </x:c>
      <x:c r="B13" s="11" t="n">
        <x:v>21.16</x:v>
      </x:c>
      <x:c r="C13" s="11" t="n">
        <x:v>70.54</x:v>
      </x:c>
      <x:c r="D13" s="13" t="n">
        <x:f>ROUND(C13-B13,2)</x:f>
        <x:v>49.38</x:v>
      </x:c>
    </x:row>
    <x:row r="14" ht="46" customHeight="1">
      <x:c r="A14" s="14" t="str">
        <x:v>26 HOWARD DR, BELLEVILLE, IL 62223</x:v>
      </x:c>
      <x:c r="B14" s="15" t="n">
        <x:v>71.74</x:v>
      </x:c>
      <x:c r="C14" s="15" t="n">
        <x:v>239.13</x:v>
      </x:c>
      <x:c r="D14" s="13" t="n">
        <x:f>ROUND(C14-B14,2)</x:f>
        <x:v>167.39</x:v>
      </x:c>
    </x:row>
    <x:row r="15" ht="46" customHeight="1">
      <x:c r="A15" s="9" t="str">
        <x:v>29 HOWARD DR, BELLEVILLE, IL 62223</x:v>
      </x:c>
      <x:c r="B15" s="11" t="n">
        <x:v>32.33</x:v>
      </x:c>
      <x:c r="C15" s="11" t="n">
        <x:v>107.78</x:v>
      </x:c>
      <x:c r="D15" s="13" t="n">
        <x:f>ROUND(C15-B15,2)</x:f>
        <x:v>75.45</x:v>
      </x:c>
    </x:row>
    <x:row r="16" ht="46" customHeight="1">
      <x:c r="A16" s="14" t="str">
        <x:v>30 HOWARD DR, BELLEVILLE, IL 62223</x:v>
      </x:c>
      <x:c r="B16" s="15" t="n">
        <x:v>108.94</x:v>
      </x:c>
      <x:c r="C16" s="15" t="n">
        <x:v>363.13</x:v>
      </x:c>
      <x:c r="D16" s="13" t="n">
        <x:f>ROUND(C16-B16,2)</x:f>
        <x:v>254.19</x:v>
      </x:c>
    </x:row>
    <x:row r="17" ht="46" customHeight="1">
      <x:c r="A17" s="9" t="str">
        <x:v>31 HOWARD DR, BELLEVILLE, IL 62223</x:v>
      </x:c>
      <x:c r="B17" s="11" t="n">
        <x:v>28.74</x:v>
      </x:c>
      <x:c r="C17" s="11" t="n">
        <x:v>95.81</x:v>
      </x:c>
      <x:c r="D17" s="13" t="n">
        <x:f>ROUND(C17-B17,2)</x:f>
        <x:v>67.07</x:v>
      </x:c>
    </x:row>
    <x:row r="18" ht="46" customHeight="1">
      <x:c r="A18" s="14" t="str">
        <x:v>33 HOWARD DR, BELLEVILLE, IL 62223</x:v>
      </x:c>
      <x:c r="B18" s="15" t="n">
        <x:v>37.64</x:v>
      </x:c>
      <x:c r="C18" s="15" t="n">
        <x:v>125.47</x:v>
      </x:c>
      <x:c r="D18" s="13" t="n">
        <x:f>ROUND(C18-B18,2)</x:f>
        <x:v>87.83</x:v>
      </x:c>
    </x:row>
    <x:row r="19" ht="46" customHeight="1">
      <x:c r="A19" s="9" t="str">
        <x:v>34 HOWARD DR, BELLEVILLE, IL 62223
Parcel 07-15.0-404-010</x:v>
      </x:c>
      <x:c r="B19" s="11" t="n">
        <x:v>47.35</x:v>
      </x:c>
      <x:c r="C19" s="11" t="n">
        <x:v>157.83</x:v>
      </x:c>
      <x:c r="D19" s="13" t="n">
        <x:f>ROUND(C19-B19,2)</x:f>
        <x:v>110.48</x:v>
      </x:c>
    </x:row>
    <x:row r="20" ht="46" customHeight="1">
      <x:c r="A20" s="14" t="str">
        <x:v>34 HOWARD DR, BELLEVILLE, IL 62223
Parcel 07-15.0-404-011</x:v>
      </x:c>
      <x:c r="B20" s="15" t="n">
        <x:v>5.38</x:v>
      </x:c>
      <x:c r="C20" s="15" t="n">
        <x:v>17.92</x:v>
      </x:c>
      <x:c r="D20" s="13" t="n">
        <x:f>ROUND(C20-B20,2)</x:f>
        <x:v>12.54</x:v>
      </x:c>
    </x:row>
    <x:row r="21" ht="46" customHeight="1">
      <x:c r="A21" s="9" t="str">
        <x:v>102 HOWARD DR, BELLEVILLE, IL 62223</x:v>
      </x:c>
      <x:c r="B21" s="11" t="n">
        <x:v>35.5</x:v>
      </x:c>
      <x:c r="C21" s="11" t="n">
        <x:v>118.32</x:v>
      </x:c>
      <x:c r="D21" s="13" t="n">
        <x:f>ROUND(C21-B21,2)</x:f>
        <x:v>82.82</x:v>
      </x:c>
    </x:row>
    <x:row r="22" ht="46" customHeight="1">
      <x:c r="A22" s="14" t="str">
        <x:v>105 HOWARD DR, BELLEVILLE, IL 62221</x:v>
      </x:c>
      <x:c r="B22" s="15" t="n">
        <x:v>34.44</x:v>
      </x:c>
      <x:c r="C22" s="15" t="n">
        <x:v>114.8</x:v>
      </x:c>
      <x:c r="D22" s="13" t="n">
        <x:f>ROUND(C22-B22,2)</x:f>
        <x:v>80.36</x:v>
      </x:c>
    </x:row>
    <x:row r="23" ht="46" customHeight="1">
      <x:c r="A23" s="9" t="str">
        <x:v>107 HOWARD DR, BELLEVILLE, IL 62223</x:v>
      </x:c>
      <x:c r="B23" s="11" t="n">
        <x:v>17.82</x:v>
      </x:c>
      <x:c r="C23" s="11" t="n">
        <x:v>59.4</x:v>
      </x:c>
      <x:c r="D23" s="13" t="n">
        <x:f>ROUND(C23-B23,2)</x:f>
        <x:v>41.58</x:v>
      </x:c>
    </x:row>
    <x:row r="24" ht="46" customHeight="1">
      <x:c r="A24" s="14" t="str">
        <x:v>108 HOWARD DR, BELLEVILLE, IL 62223</x:v>
      </x:c>
      <x:c r="B24" s="15" t="n">
        <x:v>33.45</x:v>
      </x:c>
      <x:c r="C24" s="15" t="n">
        <x:v>111.51</x:v>
      </x:c>
      <x:c r="D24" s="13" t="n">
        <x:f>ROUND(C24-B24,2)</x:f>
        <x:v>78.06</x:v>
      </x:c>
    </x:row>
    <x:row r="25" ht="46" customHeight="1">
      <x:c r="A25" s="9" t="str">
        <x:v>111 HOWARD DR, BELLEVILLE, IL 62223</x:v>
      </x:c>
      <x:c r="B25" s="11" t="n">
        <x:v>35.52</x:v>
      </x:c>
      <x:c r="C25" s="11" t="n">
        <x:v>118.39</x:v>
      </x:c>
      <x:c r="D25" s="13" t="n">
        <x:f>ROUND(C25-B25,2)</x:f>
        <x:v>82.87</x:v>
      </x:c>
    </x:row>
    <x:row r="26" ht="46" customHeight="1">
      <x:c r="A26" s="14" t="str">
        <x:v>112 HOWARD DR, BELLEVILLE, IL 62223</x:v>
      </x:c>
      <x:c r="B26" s="15" t="n">
        <x:v>46.03</x:v>
      </x:c>
      <x:c r="C26" s="15" t="n">
        <x:v>153.42</x:v>
      </x:c>
      <x:c r="D26" s="13" t="n">
        <x:f>ROUND(C26-B26,2)</x:f>
        <x:v>107.39</x:v>
      </x:c>
    </x:row>
    <x:row r="27" ht="46" customHeight="1">
      <x:c r="A27" s="9" t="str">
        <x:v>117 HOWARD DR, BELLEVILLE, IL 62223</x:v>
      </x:c>
      <x:c r="B27" s="11" t="n">
        <x:v>18.23</x:v>
      </x:c>
      <x:c r="C27" s="11" t="n">
        <x:v>60.76</x:v>
      </x:c>
      <x:c r="D27" s="13" t="n">
        <x:f>ROUND(C27-B27,2)</x:f>
        <x:v>42.53</x:v>
      </x:c>
    </x:row>
    <x:row r="28" ht="46" customHeight="1">
      <x:c r="A28" s="14" t="str">
        <x:v>120 HOWARD DR, BELLEVILLE, IL 62223</x:v>
      </x:c>
      <x:c r="B28" s="15" t="n">
        <x:v>0</x:v>
      </x:c>
      <x:c r="C28" s="15" t="n">
        <x:v>0</x:v>
      </x:c>
      <x:c r="D28" s="13" t="n">
        <x:f>ROUND(C28-B28,2)</x:f>
        <x:v>0</x:v>
      </x:c>
    </x:row>
    <x:row r="29" ht="46" customHeight="1">
      <x:c r="A29" s="9" t="str">
        <x:v>121 HOWARD DR, BELLEVILLE, IL 62223</x:v>
      </x:c>
      <x:c r="B29" s="11" t="n">
        <x:v>0</x:v>
      </x:c>
      <x:c r="C29" s="11" t="n">
        <x:v>0</x:v>
      </x:c>
      <x:c r="D29" s="13" t="n">
        <x:f>ROUND(C29-B29,2)</x:f>
        <x:v>0</x:v>
      </x:c>
    </x:row>
    <x:row r="30" ht="46" customHeight="1">
      <x:c r="A30" s="14" t="str">
        <x:v>124 HOWARD DR, BELLEVILLE, IL 62223</x:v>
      </x:c>
      <x:c r="B30" s="15" t="n">
        <x:v>29.46</x:v>
      </x:c>
      <x:c r="C30" s="15" t="n">
        <x:v>98.2</x:v>
      </x:c>
      <x:c r="D30" s="13" t="n">
        <x:f>ROUND(C30-B30,2)</x:f>
        <x:v>68.74</x:v>
      </x:c>
    </x:row>
    <x:row r="31" ht="46" customHeight="1">
      <x:c r="A31" s="9" t="str">
        <x:v>125 HOWARD DR, BELLEVILLE, IL 62223</x:v>
      </x:c>
      <x:c r="B31" s="11" t="n">
        <x:v>44.52</x:v>
      </x:c>
      <x:c r="C31" s="11" t="n">
        <x:v>148.4</x:v>
      </x:c>
      <x:c r="D31" s="13" t="n">
        <x:f>ROUND(C31-B31,2)</x:f>
        <x:v>103.88</x:v>
      </x:c>
    </x:row>
    <x:row r="32" ht="46" customHeight="1">
      <x:c r="A32" s="14" t="str">
        <x:v>129 HOWARD DR, BELLEVILLE, IL 62223</x:v>
      </x:c>
      <x:c r="B32" s="15" t="n">
        <x:v>29.91</x:v>
      </x:c>
      <x:c r="C32" s="15" t="n">
        <x:v>99.7</x:v>
      </x:c>
      <x:c r="D32" s="13" t="n">
        <x:f>ROUND(C32-B32,2)</x:f>
        <x:v>69.79</x:v>
      </x:c>
    </x:row>
    <x:row r="33" ht="46" customHeight="1">
      <x:c r="A33" s="9" t="str">
        <x:v>130 HOWARD DR, BELLEVILLE, IL 62223</x:v>
      </x:c>
      <x:c r="B33" s="11" t="n">
        <x:v>37.43</x:v>
      </x:c>
      <x:c r="C33" s="11" t="n">
        <x:v>124.77</x:v>
      </x:c>
      <x:c r="D33" s="13" t="n">
        <x:f>ROUND(C33-B33,2)</x:f>
        <x:v>87.34</x:v>
      </x:c>
    </x:row>
    <x:row r="34" ht="46" customHeight="1">
      <x:c r="A34" s="14" t="str">
        <x:v>131 HOWARD DR, BELLEVILLE, IL 62223</x:v>
      </x:c>
      <x:c r="B34" s="15" t="n">
        <x:v>39.74</x:v>
      </x:c>
      <x:c r="C34" s="15" t="n">
        <x:v>132.48</x:v>
      </x:c>
      <x:c r="D34" s="13" t="n">
        <x:f>ROUND(C34-B34,2)</x:f>
        <x:v>92.74</x:v>
      </x:c>
    </x:row>
    <x:row r="35" ht="46" customHeight="1">
      <x:c r="A35" s="9" t="str">
        <x:v>136 HOWARD DR, BELLEVILLE, IL 62223</x:v>
      </x:c>
      <x:c r="B35" s="11" t="n">
        <x:v>39.57</x:v>
      </x:c>
      <x:c r="C35" s="11" t="n">
        <x:v>131.89</x:v>
      </x:c>
      <x:c r="D35" s="13" t="n">
        <x:f>ROUND(C35-B35,2)</x:f>
        <x:v>92.32</x:v>
      </x:c>
    </x:row>
    <x:row r="36" ht="46" customHeight="1">
      <x:c r="A36" s="14" t="str">
        <x:v>137 HOWARD DR, BELLEVILLE, IL 62223</x:v>
      </x:c>
      <x:c r="B36" s="15" t="n">
        <x:v>45.66</x:v>
      </x:c>
      <x:c r="C36" s="15" t="n">
        <x:v>152.19</x:v>
      </x:c>
      <x:c r="D36" s="13" t="n">
        <x:f>ROUND(C36-B36,2)</x:f>
        <x:v>106.53</x:v>
      </x:c>
    </x:row>
    <x:row r="37" ht="46" customHeight="1">
      <x:c r="A37" s="9" t="str">
        <x:v>300 HOWARD DR, BELLEVILLE, IL 62223</x:v>
      </x:c>
      <x:c r="B37" s="11" t="n">
        <x:v>15.31</x:v>
      </x:c>
      <x:c r="C37" s="11" t="n">
        <x:v>51.02</x:v>
      </x:c>
      <x:c r="D37" s="13" t="n">
        <x:f>ROUND(C37-B37,2)</x:f>
        <x:v>35.71</x:v>
      </x:c>
    </x:row>
    <x:row r="38" ht="46" customHeight="1">
      <x:c r="A38" s="14" t="str">
        <x:v>516 MONICA DR, BELLEVILLE, IL 62223</x:v>
      </x:c>
      <x:c r="B38" s="15" t="n">
        <x:v>39.97</x:v>
      </x:c>
      <x:c r="C38" s="15" t="n">
        <x:v>133.22</x:v>
      </x:c>
      <x:c r="D38" s="13" t="n">
        <x:f>ROUND(C38-B38,2)</x:f>
        <x:v>93.25</x:v>
      </x:c>
    </x:row>
    <x:row r="39" ht="46" customHeight="1">
      <x:c r="A39" s="9" t="str">
        <x:v>626 MONICA DR, BELLEVILLE, IL 62223</x:v>
      </x:c>
      <x:c r="B39" s="11" t="n">
        <x:v>36.25</x:v>
      </x:c>
      <x:c r="C39" s="11" t="n">
        <x:v>120.84</x:v>
      </x:c>
      <x:c r="D39" s="13" t="n">
        <x:f>ROUND(C39-B39,2)</x:f>
        <x:v>84.59</x:v>
      </x:c>
    </x:row>
    <x:row r="40" ht="46" customHeight="1">
      <x:c r="A40" s="14" t="str">
        <x:v>627 MONICA DR, BELLEVILLE, IL 62223</x:v>
      </x:c>
      <x:c r="B40" s="15" t="n">
        <x:v>31.34</x:v>
      </x:c>
      <x:c r="C40" s="15" t="n">
        <x:v>104.46</x:v>
      </x:c>
      <x:c r="D40" s="13" t="n">
        <x:f>ROUND(C40-B40,2)</x:f>
        <x:v>73.12</x:v>
      </x:c>
    </x:row>
    <x:row r="41" ht="46" customHeight="1">
      <x:c r="A41" s="9" t="str">
        <x:v>631 MONICA DR, BELLEVILLE, IL 62223</x:v>
      </x:c>
      <x:c r="B41" s="11" t="n">
        <x:v>31.1</x:v>
      </x:c>
      <x:c r="C41" s="11" t="n">
        <x:v>103.68</x:v>
      </x:c>
      <x:c r="D41" s="13" t="n">
        <x:f>ROUND(C41-B41,2)</x:f>
        <x:v>72.58</x:v>
      </x:c>
    </x:row>
    <x:row r="42" ht="46" customHeight="1">
      <x:c r="A42" s="14" t="str">
        <x:v>634 MONICA DR, BELLEVILLE, IL 62223</x:v>
      </x:c>
      <x:c r="B42" s="15" t="n">
        <x:v>29.39</x:v>
      </x:c>
      <x:c r="C42" s="15" t="n">
        <x:v>97.96</x:v>
      </x:c>
      <x:c r="D42" s="13" t="n">
        <x:f>ROUND(C42-B42,2)</x:f>
        <x:v>68.57</x:v>
      </x:c>
    </x:row>
    <x:row r="43" ht="46" customHeight="1">
      <x:c r="A43" s="9" t="str">
        <x:v>635 MONICA DR, BELLEVILLE, IL 62223</x:v>
      </x:c>
      <x:c r="B43" s="11" t="n">
        <x:v>29.58</x:v>
      </x:c>
      <x:c r="C43" s="11" t="n">
        <x:v>98.6</x:v>
      </x:c>
      <x:c r="D43" s="13" t="n">
        <x:f>ROUND(C43-B43,2)</x:f>
        <x:v>69.02</x:v>
      </x:c>
    </x:row>
    <x:row r="44" ht="46" customHeight="1">
      <x:c r="A44" s="14" t="str">
        <x:v>636 MONICA DR, BELLEVILLE, IL 62223</x:v>
      </x:c>
      <x:c r="B44" s="15" t="n">
        <x:v>41.52</x:v>
      </x:c>
      <x:c r="C44" s="15" t="n">
        <x:v>138.39</x:v>
      </x:c>
      <x:c r="D44" s="13" t="n">
        <x:f>ROUND(C44-B44,2)</x:f>
        <x:v>96.87</x:v>
      </x:c>
    </x:row>
    <x:row r="45" ht="46" customHeight="1">
      <x:c r="A45" s="9" t="str">
        <x:v>638 MONICA DR, BELLEVILLE, IL 62223</x:v>
      </x:c>
      <x:c r="B45" s="11" t="n">
        <x:v>28.12</x:v>
      </x:c>
      <x:c r="C45" s="11" t="n">
        <x:v>93.73</x:v>
      </x:c>
      <x:c r="D45" s="13" t="n">
        <x:f>ROUND(C45-B45,2)</x:f>
        <x:v>65.61</x:v>
      </x:c>
    </x:row>
    <x:row r="46" ht="46" customHeight="1">
      <x:c r="A46" s="14" t="str">
        <x:v>639 MONICA DR, BELLEVILLE, IL 62223</x:v>
      </x:c>
      <x:c r="B46" s="15" t="n">
        <x:v>33.56</x:v>
      </x:c>
      <x:c r="C46" s="15" t="n">
        <x:v>111.86</x:v>
      </x:c>
      <x:c r="D46" s="13" t="n">
        <x:f>ROUND(C46-B46,2)</x:f>
        <x:v>78.3</x:v>
      </x:c>
    </x:row>
    <x:row r="47" ht="46" customHeight="1">
      <x:c r="A47" s="9" t="str">
        <x:v>19 REAVIS DR, BELLEVILLE, IL 62223</x:v>
      </x:c>
      <x:c r="B47" s="11" t="n">
        <x:v>2.35</x:v>
      </x:c>
      <x:c r="C47" s="11" t="n">
        <x:v>7.85</x:v>
      </x:c>
      <x:c r="D47" s="13" t="n">
        <x:f>ROUND(C47-B47,2)</x:f>
        <x:v>5.5</x:v>
      </x:c>
    </x:row>
    <x:row r="48" ht="46" customHeight="1">
      <x:c r="A48" s="14" t="str">
        <x:v>622 VALENCIA, BELLEVILLE, IL 62223</x:v>
      </x:c>
      <x:c r="B48" s="15" t="n">
        <x:v>45.57</x:v>
      </x:c>
      <x:c r="C48" s="15" t="n">
        <x:v>151.89</x:v>
      </x:c>
      <x:c r="D48" s="13" t="n">
        <x:f>ROUND(C48-B48,2)</x:f>
        <x:v>106.32</x:v>
      </x:c>
    </x:row>
    <x:row r="49" ht="46" customHeight="1">
      <x:c r="A49" s="9" t="str">
        <x:v>622 VALENCIA DR, BELLEVILLE, IL 62223</x:v>
      </x:c>
      <x:c r="B49" s="11" t="n">
        <x:v>4.15</x:v>
      </x:c>
      <x:c r="C49" s="11" t="n">
        <x:v>13.83</x:v>
      </x:c>
      <x:c r="D49" s="13" t="n">
        <x:f>ROUND(C49-B49,2)</x:f>
        <x:v>9.68</x:v>
      </x:c>
    </x:row>
    <x:row r="50" ht="46" customHeight="1">
      <x:c r="A50" s="14" t="str">
        <x:v>512 VILLA DR, BELLEVILLE, IL 62223</x:v>
      </x:c>
      <x:c r="B50" s="15" t="n">
        <x:v>69.42</x:v>
      </x:c>
      <x:c r="C50" s="15" t="n">
        <x:v>231.4</x:v>
      </x:c>
      <x:c r="D50" s="13" t="n">
        <x:f>ROUND(C50-B50,2)</x:f>
        <x:v>161.98</x:v>
      </x:c>
    </x:row>
    <x:row r="51" ht="46" customHeight="1">
      <x:c r="A51" s="9" t="str">
        <x:v>520 VILLA DR, BELLEVILLE, IL 62223</x:v>
      </x:c>
      <x:c r="B51" s="11" t="n">
        <x:v>35.22</x:v>
      </x:c>
      <x:c r="C51" s="11" t="n">
        <x:v>117.4</x:v>
      </x:c>
      <x:c r="D51" s="13" t="n">
        <x:f>ROUND(C51-B51,2)</x:f>
        <x:v>82.18</x:v>
      </x:c>
    </x:row>
    <x:row r="52" ht="46" customHeight="1">
      <x:c r="A52" s="14" t="str">
        <x:v>536 VILLA DR, BELLEVILLE, IL 62223</x:v>
      </x:c>
      <x:c r="B52" s="15" t="n">
        <x:v>32.56</x:v>
      </x:c>
      <x:c r="C52" s="15" t="n">
        <x:v>108.53</x:v>
      </x:c>
      <x:c r="D52" s="13" t="n">
        <x:f>ROUND(C52-B52,2)</x:f>
        <x:v>75.97</x:v>
      </x:c>
    </x:row>
    <x:row r="53" ht="46" customHeight="1">
      <x:c r="A53" s="9" t="str">
        <x:v>540 VILLA DR, BELLEVILLE, IL 62223</x:v>
      </x:c>
      <x:c r="B53" s="11" t="n">
        <x:v>44.49</x:v>
      </x:c>
      <x:c r="C53" s="11" t="n">
        <x:v>148.3</x:v>
      </x:c>
      <x:c r="D53" s="13" t="n">
        <x:f>ROUND(C53-B53,2)</x:f>
        <x:v>103.81</x:v>
      </x:c>
    </x:row>
    <x:row r="54" ht="46" customHeight="1">
      <x:c r="A54" s="14" t="str">
        <x:v>550 VILLA DR, BELLEVILLE, IL 62223</x:v>
      </x:c>
      <x:c r="B54" s="15" t="n">
        <x:v>58.06</x:v>
      </x:c>
      <x:c r="C54" s="15" t="n">
        <x:v>193.52</x:v>
      </x:c>
      <x:c r="D54" s="13" t="n">
        <x:f>ROUND(C54-B54,2)</x:f>
        <x:v>135.46</x:v>
      </x:c>
    </x:row>
    <x:row r="55" ht="46" customHeight="1">
      <x:c r="A55" s="9" t="str">
        <x:v>600 VILLA DR, BELLEVILLE, IL 62223</x:v>
      </x:c>
      <x:c r="B55" s="11" t="n">
        <x:v>25.87</x:v>
      </x:c>
      <x:c r="C55" s="11" t="n">
        <x:v>86.22</x:v>
      </x:c>
      <x:c r="D55" s="13" t="n">
        <x:f>ROUND(C55-B55,2)</x:f>
        <x:v>60.35</x:v>
      </x:c>
    </x:row>
    <x:row r="56" ht="46" customHeight="1">
      <x:c r="A56" s="14" t="str">
        <x:v>604 VILLA DR, BELLEVILLE, IL 62223</x:v>
      </x:c>
      <x:c r="B56" s="15" t="n">
        <x:v>36.42</x:v>
      </x:c>
      <x:c r="C56" s="15" t="n">
        <x:v>121.4</x:v>
      </x:c>
      <x:c r="D56" s="13" t="n">
        <x:f>ROUND(C56-B56,2)</x:f>
        <x:v>84.98</x:v>
      </x:c>
    </x:row>
    <x:row r="57" ht="46" customHeight="1">
      <x:c r="A57" s="9" t="str">
        <x:v>616 VILLA DR, BELLEVILLE, IL 62223</x:v>
      </x:c>
      <x:c r="B57" s="11" t="n">
        <x:v>15.11</x:v>
      </x:c>
      <x:c r="C57" s="11" t="n">
        <x:v>50.37</x:v>
      </x:c>
      <x:c r="D57" s="13" t="n">
        <x:f>ROUND(C57-B57,2)</x:f>
        <x:v>35.26</x:v>
      </x:c>
    </x:row>
    <x:row r="58" ht="46" customHeight="1">
      <x:c r="A58" s="14" t="str">
        <x:v>720 VILLA DR, BELLEVILLE, IL 62223</x:v>
      </x:c>
      <x:c r="B58" s="15" t="n">
        <x:v>21</x:v>
      </x:c>
      <x:c r="C58" s="15" t="n">
        <x:v>69.98</x:v>
      </x:c>
      <x:c r="D58" s="13" t="n">
        <x:f>ROUND(C58-B58,2)</x:f>
        <x:v>48.98</x:v>
      </x:c>
    </x:row>
    <x:row r="59" ht="46" customHeight="1">
      <x:c r="A59" s="9" t="str">
        <x:v>722 VILLA DR, BELLEVILLE, IL 62223</x:v>
      </x:c>
      <x:c r="B59" s="11" t="n">
        <x:v>52.97</x:v>
      </x:c>
      <x:c r="C59" s="11" t="n">
        <x:v>176.57</x:v>
      </x:c>
      <x:c r="D59" s="13" t="n">
        <x:f>ROUND(C59-B59,2)</x:f>
        <x:v>123.6</x:v>
      </x:c>
    </x:row>
    <x:row r="60" ht="46" customHeight="1">
      <x:c r="A60" s="14" t="str">
        <x:v>750 VILLA DR, BELLEVILLE, IL 62223</x:v>
      </x:c>
      <x:c r="B60" s="15" t="n">
        <x:v>12.18</x:v>
      </x:c>
      <x:c r="C60" s="15" t="n">
        <x:v>40.59</x:v>
      </x:c>
      <x:c r="D60" s="13" t="n">
        <x:f>ROUND(C60-B60,2)</x:f>
        <x:v>28.41</x:v>
      </x:c>
    </x:row>
    <x:row r="61" ht="46" customHeight="1">
      <x:c r="A61" s="9" t="str">
        <x:v>900 VILLA DR, BELLEVILLE, IL 62223</x:v>
      </x:c>
      <x:c r="B61" s="11" t="n">
        <x:v>64.71</x:v>
      </x:c>
      <x:c r="C61" s="11" t="n">
        <x:v>215.7</x:v>
      </x:c>
      <x:c r="D61" s="13" t="n">
        <x:f>ROUND(C61-B61,2)</x:f>
        <x:v>150.99</x:v>
      </x:c>
    </x:row>
  </x:sheetData>
  <x:sheetProtection algorithmName="SHA-512" hashValue="IPYRpartrcoLhhEmVe5N7WUmBzZkODJivSkhnOQ6ypQ7XyhSfe7lVJ32p8llrG1myLepYkcOi51PfW/cwupkWw==" saltValue="86D/6mfc/2CY61WZxs/uFQ==" spinCount="100000" sheet="1" objects="1" scenarios="1"/>
  <x:pageMargins left="0.7" right="0.7" top="0.75" bottom="0.75" header="0.3" footer="0.3"/>
</x:worksheet>
</file>