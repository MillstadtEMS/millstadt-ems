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ed0169afe46e4" /></Relationships>
</file>

<file path=xl/workbook.xml><?xml version="1.0" encoding="utf-8"?>
<x:workbook xmlns:x="http://schemas.openxmlformats.org/spreadsheetml/2006/main">
  <x:workbookProtection workbookAlgorithmName="SHA-512" workbookHashValue="KsqGzTKzpvinKUOUv7ZxdkHXAQFB7bG7Q+/P6YEiNJg+lx6bWzlD6GoNaaa768qxJVRD62+agk35nuj+4tAocw==" workbookSaltValue="v6JtL65hLrcYeZA0p/Xaow==" workbookSpinCount="100000" lockStructure="1"/>
  <x:sheets>
    <x:sheet xmlns:r="http://schemas.openxmlformats.org/officeDocument/2006/relationships" name="Annual EMS taxes" sheetId="1" r:id="Ree0f5339ec35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88c1e5aba4b4d" /><Relationship Type="http://schemas.openxmlformats.org/officeDocument/2006/relationships/theme" Target="/xl/theme/theme1.xml" Id="Rbaa0a95db27741db" /><Relationship Type="http://schemas.openxmlformats.org/officeDocument/2006/relationships/sharedStrings" Target="/xl/sharedStrings.xml" Id="R9f8fe9ab3e01494d" /><Relationship Type="http://schemas.openxmlformats.org/officeDocument/2006/relationships/worksheet" Target="/xl/worksheets/sheet1.xml" Id="Ree0f5339ec3544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HORNS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222 BUCHANAN, WATERLOO, IL 62298
Parcel 16-11.0-209-002</x:v>
      </x:c>
      <x:c r="B7" s="11" t="n">
        <x:v>0</x:v>
      </x:c>
      <x:c r="C7" s="11" t="n">
        <x:v>7.4</x:v>
      </x:c>
      <x:c r="D7" s="13" t="n">
        <x:f>ROUND(C7-B7,2)</x:f>
        <x:v>7.4</x:v>
      </x:c>
    </x:row>
    <x:row r="8" ht="46" customHeight="1">
      <x:c r="A8" s="14" t="str">
        <x:v>222 BUCHANAN, WATERLOO, IL 62298
Parcel 16-11.0-209-003</x:v>
      </x:c>
      <x:c r="B8" s="15" t="n">
        <x:v>0</x:v>
      </x:c>
      <x:c r="C8" s="15" t="n">
        <x:v>7.41</x:v>
      </x:c>
      <x:c r="D8" s="13" t="n">
        <x:f>ROUND(C8-B8,2)</x:f>
        <x:v>7.41</x:v>
      </x:c>
    </x:row>
    <x:row r="9" ht="46" customHeight="1">
      <x:c r="A9" s="9" t="str">
        <x:v>104 BUCHANAN ST, WATERLOO, IL 62298</x:v>
      </x:c>
      <x:c r="B9" s="11" t="n">
        <x:v>0</x:v>
      </x:c>
      <x:c r="C9" s="11" t="n">
        <x:v>130.31</x:v>
      </x:c>
      <x:c r="D9" s="13" t="n">
        <x:f>ROUND(C9-B9,2)</x:f>
        <x:v>130.31</x:v>
      </x:c>
    </x:row>
    <x:row r="10" ht="46" customHeight="1">
      <x:c r="A10" s="14" t="str">
        <x:v>112 BUCHANAN ST, WATERLOO, IL 62298</x:v>
      </x:c>
      <x:c r="B10" s="15" t="n">
        <x:v>0</x:v>
      </x:c>
      <x:c r="C10" s="15" t="n">
        <x:v>88.57</x:v>
      </x:c>
      <x:c r="D10" s="13" t="n">
        <x:f>ROUND(C10-B10,2)</x:f>
        <x:v>88.57</x:v>
      </x:c>
    </x:row>
    <x:row r="11" ht="46" customHeight="1">
      <x:c r="A11" s="9" t="str">
        <x:v>120 BUCHANAN ST, WATERLOO, IL 62298
Parcel 16-11.0-212-001</x:v>
      </x:c>
      <x:c r="B11" s="11" t="n">
        <x:v>0</x:v>
      </x:c>
      <x:c r="C11" s="11" t="n">
        <x:v>15.35</x:v>
      </x:c>
      <x:c r="D11" s="13" t="n">
        <x:f>ROUND(C11-B11,2)</x:f>
        <x:v>15.35</x:v>
      </x:c>
    </x:row>
    <x:row r="12" ht="46" customHeight="1">
      <x:c r="A12" s="14" t="str">
        <x:v>120 BUCHANAN ST, WATERLOO, IL 62298
Parcel 16-11.0-212-002</x:v>
      </x:c>
      <x:c r="B12" s="15" t="n">
        <x:v>0</x:v>
      </x:c>
      <x:c r="C12" s="15" t="n">
        <x:v>11.18</x:v>
      </x:c>
      <x:c r="D12" s="13" t="n">
        <x:f>ROUND(C12-B12,2)</x:f>
        <x:v>11.18</x:v>
      </x:c>
    </x:row>
    <x:row r="13" ht="46" customHeight="1">
      <x:c r="A13" s="9" t="str">
        <x:v>206 BUCHANAN ST, WATERLOO, IL 62298</x:v>
      </x:c>
      <x:c r="B13" s="11" t="n">
        <x:v>0</x:v>
      </x:c>
      <x:c r="C13" s="11" t="n">
        <x:v>116.63</x:v>
      </x:c>
      <x:c r="D13" s="13" t="n">
        <x:f>ROUND(C13-B13,2)</x:f>
        <x:v>116.63</x:v>
      </x:c>
    </x:row>
    <x:row r="14" ht="46" customHeight="1">
      <x:c r="A14" s="14" t="str">
        <x:v>222 BUCHANAN ST, WATERLOO, IL 62298</x:v>
      </x:c>
      <x:c r="B14" s="15" t="n">
        <x:v>0</x:v>
      </x:c>
      <x:c r="C14" s="15" t="n">
        <x:v>122.91</x:v>
      </x:c>
      <x:c r="D14" s="13" t="n">
        <x:f>ROUND(C14-B14,2)</x:f>
        <x:v>122.91</x:v>
      </x:c>
    </x:row>
    <x:row r="15" ht="46" customHeight="1">
      <x:c r="A15" s="9" t="str">
        <x:v>316 BUCHANAN ST, WATERLOO, IL 62298</x:v>
      </x:c>
      <x:c r="B15" s="11" t="n">
        <x:v>0</x:v>
      </x:c>
      <x:c r="C15" s="11" t="n">
        <x:v>36.69</x:v>
      </x:c>
      <x:c r="D15" s="13" t="n">
        <x:f>ROUND(C15-B15,2)</x:f>
        <x:v>36.69</x:v>
      </x:c>
    </x:row>
    <x:row r="16" ht="46" customHeight="1">
      <x:c r="A16" s="14" t="str">
        <x:v>101 CASS ST, WATERLOO, IL 62298
Parcel 16-11.0-204-006</x:v>
      </x:c>
      <x:c r="B16" s="15" t="n">
        <x:v>0</x:v>
      </x:c>
      <x:c r="C16" s="15" t="n">
        <x:v>6.45</x:v>
      </x:c>
      <x:c r="D16" s="13" t="n">
        <x:f>ROUND(C16-B16,2)</x:f>
        <x:v>6.45</x:v>
      </x:c>
    </x:row>
    <x:row r="17" ht="46" customHeight="1">
      <x:c r="A17" s="9" t="str">
        <x:v>101 CASS ST, WATERLOO, IL 62298
Parcel 16-11.0-204-011</x:v>
      </x:c>
      <x:c r="B17" s="11" t="n">
        <x:v>0</x:v>
      </x:c>
      <x:c r="C17" s="11" t="n">
        <x:v>58.06</x:v>
      </x:c>
      <x:c r="D17" s="13" t="n">
        <x:f>ROUND(C17-B17,2)</x:f>
        <x:v>58.06</x:v>
      </x:c>
    </x:row>
    <x:row r="18" ht="46" customHeight="1">
      <x:c r="A18" s="14" t="str">
        <x:v>101 CASS ST, WATERLOO, IL 62298
Parcel 16-11.0-204-012</x:v>
      </x:c>
      <x:c r="B18" s="15" t="n">
        <x:v>0</x:v>
      </x:c>
      <x:c r="C18" s="15" t="n">
        <x:v>8.83</x:v>
      </x:c>
      <x:c r="D18" s="13" t="n">
        <x:f>ROUND(C18-B18,2)</x:f>
        <x:v>8.83</x:v>
      </x:c>
    </x:row>
    <x:row r="19" ht="46" customHeight="1">
      <x:c r="A19" s="9" t="str">
        <x:v>203 DOUGLAS ST, WATERLOO, IL 62298</x:v>
      </x:c>
      <x:c r="B19" s="11" t="n">
        <x:v>0</x:v>
      </x:c>
      <x:c r="C19" s="11" t="n">
        <x:v>160.73</x:v>
      </x:c>
      <x:c r="D19" s="13" t="n">
        <x:f>ROUND(C19-B19,2)</x:f>
        <x:v>160.73</x:v>
      </x:c>
    </x:row>
    <x:row r="20" ht="46" customHeight="1">
      <x:c r="A20" s="14" t="str">
        <x:v>219 DOUGLAS ST, WATERLOO, IL 62298</x:v>
      </x:c>
      <x:c r="B20" s="15" t="n">
        <x:v>0</x:v>
      </x:c>
      <x:c r="C20" s="15" t="n">
        <x:v>204.2</x:v>
      </x:c>
      <x:c r="D20" s="13" t="n">
        <x:f>ROUND(C20-B20,2)</x:f>
        <x:v>204.2</x:v>
      </x:c>
    </x:row>
    <x:row r="21" ht="46" customHeight="1">
      <x:c r="A21" s="9" t="str">
        <x:v>301 DOUGLAS ST, WATERLOO, IL 62298</x:v>
      </x:c>
      <x:c r="B21" s="11" t="n">
        <x:v>0</x:v>
      </x:c>
      <x:c r="C21" s="11" t="n">
        <x:v>100.4</x:v>
      </x:c>
      <x:c r="D21" s="13" t="n">
        <x:f>ROUND(C21-B21,2)</x:f>
        <x:v>100.4</x:v>
      </x:c>
    </x:row>
    <x:row r="22" ht="46" customHeight="1">
      <x:c r="A22" s="14" t="str">
        <x:v>313 DOUGLAS ST, WATERLOO, IL 62298</x:v>
      </x:c>
      <x:c r="B22" s="15" t="n">
        <x:v>0</x:v>
      </x:c>
      <x:c r="C22" s="15" t="n">
        <x:v>94</x:v>
      </x:c>
      <x:c r="D22" s="13" t="n">
        <x:f>ROUND(C22-B22,2)</x:f>
        <x:v>94</x:v>
      </x:c>
    </x:row>
    <x:row r="23" ht="46" customHeight="1">
      <x:c r="A23" s="9" t="str">
        <x:v>319 DOUGLAS ST, WATERLOO, IL 62298</x:v>
      </x:c>
      <x:c r="B23" s="11" t="n">
        <x:v>0</x:v>
      </x:c>
      <x:c r="C23" s="11" t="n">
        <x:v>114.82</x:v>
      </x:c>
      <x:c r="D23" s="13" t="n">
        <x:f>ROUND(C23-B23,2)</x:f>
        <x:v>114.82</x:v>
      </x:c>
    </x:row>
    <x:row r="24" ht="46" customHeight="1">
      <x:c r="A24" s="14" t="str">
        <x:v>119 MCCELLAN ST, WATERLOO, IL 62298</x:v>
      </x:c>
      <x:c r="B24" s="15" t="n">
        <x:v>0</x:v>
      </x:c>
      <x:c r="C24" s="15" t="n">
        <x:v>7.39</x:v>
      </x:c>
      <x:c r="D24" s="13" t="n">
        <x:f>ROUND(C24-B24,2)</x:f>
        <x:v>7.39</x:v>
      </x:c>
    </x:row>
    <x:row r="25" ht="46" customHeight="1">
      <x:c r="A25" s="9" t="str">
        <x:v>302 OLD FLORAVILLE RD, WATERLOO, IL 62298</x:v>
      </x:c>
      <x:c r="B25" s="11" t="n">
        <x:v>0</x:v>
      </x:c>
      <x:c r="C25" s="11" t="n">
        <x:v>127.46</x:v>
      </x:c>
      <x:c r="D25" s="13" t="n">
        <x:f>ROUND(C25-B25,2)</x:f>
        <x:v>127.46</x:v>
      </x:c>
    </x:row>
    <x:row r="26" ht="46" customHeight="1">
      <x:c r="A26" s="14" t="str">
        <x:v>319 OLD FLORAVILLE RD, WATERLOO, IL 62298</x:v>
      </x:c>
      <x:c r="B26" s="15" t="n">
        <x:v>0</x:v>
      </x:c>
      <x:c r="C26" s="15" t="n">
        <x:v>74.03</x:v>
      </x:c>
      <x:c r="D26" s="13" t="n">
        <x:f>ROUND(C26-B26,2)</x:f>
        <x:v>74.03</x:v>
      </x:c>
    </x:row>
    <x:row r="27" ht="46" customHeight="1">
      <x:c r="A27" s="9" t="str">
        <x:v>400 OLD FLORAVILLE RD, WATERLOO, IL 62298</x:v>
      </x:c>
      <x:c r="B27" s="11" t="n">
        <x:v>0</x:v>
      </x:c>
      <x:c r="C27" s="11" t="n">
        <x:v>84.15</x:v>
      </x:c>
      <x:c r="D27" s="13" t="n">
        <x:f>ROUND(C27-B27,2)</x:f>
        <x:v>84.15</x:v>
      </x:c>
    </x:row>
    <x:row r="28" ht="46" customHeight="1">
      <x:c r="A28" s="14" t="str">
        <x:v>401 OLD FLORAVILLE RD, WATERLOO, IL 62298</x:v>
      </x:c>
      <x:c r="B28" s="15" t="n">
        <x:v>0</x:v>
      </x:c>
      <x:c r="C28" s="15" t="n">
        <x:v>0</x:v>
      </x:c>
      <x:c r="D28" s="13" t="n">
        <x:f>ROUND(C28-B28,2)</x:f>
        <x:v>0</x:v>
      </x:c>
    </x:row>
    <x:row r="29" ht="46" customHeight="1">
      <x:c r="A29" s="9" t="str">
        <x:v>417 OLD FLORAVILLE RD, WATERLOO, IL 62298</x:v>
      </x:c>
      <x:c r="B29" s="11" t="n">
        <x:v>0</x:v>
      </x:c>
      <x:c r="C29" s="11" t="n">
        <x:v>63.59</x:v>
      </x:c>
      <x:c r="D29" s="13" t="n">
        <x:f>ROUND(C29-B29,2)</x:f>
        <x:v>63.59</x:v>
      </x:c>
    </x:row>
    <x:row r="30" ht="46" customHeight="1">
      <x:c r="A30" s="14" t="str">
        <x:v>4355 WATERLOO RD, WATERLOO, IL 62298</x:v>
      </x:c>
      <x:c r="B30" s="15" t="n">
        <x:v>0</x:v>
      </x:c>
      <x:c r="C30" s="15" t="n">
        <x:v>55.09</x:v>
      </x:c>
      <x:c r="D30" s="13" t="n">
        <x:f>ROUND(C30-B30,2)</x:f>
        <x:v>55.09</x:v>
      </x:c>
    </x:row>
    <x:row r="31" ht="46" customHeight="1">
      <x:c r="A31" s="9" t="str">
        <x:v>4363 WATERLOO RD, WATERLOO, IL 62298</x:v>
      </x:c>
      <x:c r="B31" s="11" t="n">
        <x:v>0</x:v>
      </x:c>
      <x:c r="C31" s="11" t="n">
        <x:v>45.39</x:v>
      </x:c>
      <x:c r="D31" s="13" t="n">
        <x:f>ROUND(C31-B31,2)</x:f>
        <x:v>45.39</x:v>
      </x:c>
    </x:row>
    <x:row r="32" ht="46" customHeight="1">
      <x:c r="A32" s="14" t="str">
        <x:v>4425 WATERLOO RD, WATERLOO, IL 62298</x:v>
      </x:c>
      <x:c r="B32" s="15" t="n">
        <x:v>0</x:v>
      </x:c>
      <x:c r="C32" s="15" t="n">
        <x:v>13.26</x:v>
      </x:c>
      <x:c r="D32" s="13" t="n">
        <x:f>ROUND(C32-B32,2)</x:f>
        <x:v>13.26</x:v>
      </x:c>
    </x:row>
  </x:sheetData>
  <x:sheetProtection algorithmName="SHA-512" hashValue="KsqGzTKzpvinKUOUv7ZxdkHXAQFB7bG7Q+/P6YEiNJg+lx6bWzlD6GoNaaa768qxJVRD62+agk35nuj+4tAocw==" saltValue="v6JtL65hLrcYeZA0p/Xaow==" spinCount="100000" sheet="1" objects="1" scenarios="1"/>
  <x:pageMargins left="0.7" right="0.7" top="0.75" bottom="0.75" header="0.3" footer="0.3"/>
</x:worksheet>
</file>