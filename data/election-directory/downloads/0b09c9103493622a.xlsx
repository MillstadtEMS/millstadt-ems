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219525c124fa1" /></Relationships>
</file>

<file path=xl/workbook.xml><?xml version="1.0" encoding="utf-8"?>
<x:workbook xmlns:x="http://schemas.openxmlformats.org/spreadsheetml/2006/main">
  <x:workbookProtection workbookAlgorithmName="SHA-512" workbookHashValue="iv6bBxb19AdVKnXl/wcWqojSNd4Vs0OqoMua1GazhtSSSzGHABEI+qlZ36PjkNC9rYgOHWvP9WSB9UKs8o7+zw==" workbookSaltValue="AD9E+Z4KqIlod3r8/HeAKw==" workbookSpinCount="100000" lockStructure="1"/>
  <x:sheets>
    <x:sheet xmlns:r="http://schemas.openxmlformats.org/officeDocument/2006/relationships" name="Annual EMS taxes" sheetId="1" r:id="R9da2e6d1d5ac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a177e51fa4aa8" /><Relationship Type="http://schemas.openxmlformats.org/officeDocument/2006/relationships/theme" Target="/xl/theme/theme1.xml" Id="Raae3adaf469d4ad4" /><Relationship Type="http://schemas.openxmlformats.org/officeDocument/2006/relationships/sharedStrings" Target="/xl/sharedStrings.xml" Id="R911b46bd5e184475" /><Relationship Type="http://schemas.openxmlformats.org/officeDocument/2006/relationships/worksheet" Target="/xl/worksheets/sheet1.xml" Id="R9da2e6d1d5ac42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WESSELS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6501 ROACHTOWN RD, MILLSTADT, IL 62260
Parcel 12-12.0-400-025</x:v>
      </x:c>
      <x:c r="B7" s="11" t="n">
        <x:v>59.34</x:v>
      </x:c>
      <x:c r="C7" s="11" t="n">
        <x:v>197.79</x:v>
      </x:c>
      <x:c r="D7" s="13" t="n">
        <x:f>ROUND(C7-B7,2)</x:f>
        <x:v>138.45</x:v>
      </x:c>
    </x:row>
    <x:row r="8" ht="46" customHeight="1">
      <x:c r="A8" s="14" t="str">
        <x:v>6501 ROACHTOWN RD, MILLSTADT, IL 62260
Parcel 12-12.0-400-026</x:v>
      </x:c>
      <x:c r="B8" s="15" t="n">
        <x:v>18.36</x:v>
      </x:c>
      <x:c r="C8" s="15" t="n">
        <x:v>61.19</x:v>
      </x:c>
      <x:c r="D8" s="13" t="n">
        <x:f>ROUND(C8-B8,2)</x:f>
        <x:v>42.83</x:v>
      </x:c>
    </x:row>
    <x:row r="9" ht="46" customHeight="1">
      <x:c r="A9" s="9" t="str">
        <x:v>6581 ROACHTOWN RD, MILLSTADT, IL 62260</x:v>
      </x:c>
      <x:c r="B9" s="11" t="n">
        <x:v>76.8</x:v>
      </x:c>
      <x:c r="C9" s="11" t="n">
        <x:v>256</x:v>
      </x:c>
      <x:c r="D9" s="13" t="n">
        <x:f>ROUND(C9-B9,2)</x:f>
        <x:v>179.2</x:v>
      </x:c>
    </x:row>
    <x:row r="10" ht="46" customHeight="1">
      <x:c r="A10" s="14" t="str">
        <x:v>6601 ROACHTOWN RD, MILLSTADT, IL 62260
Parcel 12-12.0-400-032</x:v>
      </x:c>
      <x:c r="B10" s="15" t="n">
        <x:v>0.21</x:v>
      </x:c>
      <x:c r="C10" s="15" t="n">
        <x:v>0.7</x:v>
      </x:c>
      <x:c r="D10" s="13" t="n">
        <x:f>ROUND(C10-B10,2)</x:f>
        <x:v>0.49</x:v>
      </x:c>
    </x:row>
    <x:row r="11" ht="46" customHeight="1">
      <x:c r="A11" s="9" t="str">
        <x:v>4600 WESSEL LN, MILLSTADT, IL 62260</x:v>
      </x:c>
      <x:c r="B11" s="11" t="n">
        <x:v>65.36</x:v>
      </x:c>
      <x:c r="C11" s="11" t="n">
        <x:v>217.88</x:v>
      </x:c>
      <x:c r="D11" s="13" t="n">
        <x:f>ROUND(C11-B11,2)</x:f>
        <x:v>152.52</x:v>
      </x:c>
    </x:row>
    <x:row r="12" ht="46" customHeight="1">
      <x:c r="A12" s="14" t="str">
        <x:v>4601 WESSEL LN, MILLSTADT, IL 62260</x:v>
      </x:c>
      <x:c r="B12" s="15" t="n">
        <x:v>84.05</x:v>
      </x:c>
      <x:c r="C12" s="15" t="n">
        <x:v>280.15</x:v>
      </x:c>
      <x:c r="D12" s="13" t="n">
        <x:f>ROUND(C12-B12,2)</x:f>
        <x:v>196.1</x:v>
      </x:c>
    </x:row>
    <x:row r="13" ht="46" customHeight="1">
      <x:c r="A13" s="9" t="str">
        <x:v>4608 WESSEL LN, MILLSTADT, IL 62260</x:v>
      </x:c>
      <x:c r="B13" s="11" t="n">
        <x:v>81.98</x:v>
      </x:c>
      <x:c r="C13" s="11" t="n">
        <x:v>273.28</x:v>
      </x:c>
      <x:c r="D13" s="13" t="n">
        <x:f>ROUND(C13-B13,2)</x:f>
        <x:v>191.3</x:v>
      </x:c>
    </x:row>
    <x:row r="14" ht="46" customHeight="1">
      <x:c r="A14" s="14" t="str">
        <x:v>4609 WESSEL LN, MILLSTADT, IL 62260</x:v>
      </x:c>
      <x:c r="B14" s="15" t="n">
        <x:v>65.73</x:v>
      </x:c>
      <x:c r="C14" s="15" t="n">
        <x:v>219.11</x:v>
      </x:c>
      <x:c r="D14" s="13" t="n">
        <x:f>ROUND(C14-B14,2)</x:f>
        <x:v>153.38</x:v>
      </x:c>
    </x:row>
    <x:row r="15" ht="46" customHeight="1">
      <x:c r="A15" s="9" t="str">
        <x:v>4611 WESSEL LN, MILLSTADT, IL 62260</x:v>
      </x:c>
      <x:c r="B15" s="11" t="n">
        <x:v>68.75</x:v>
      </x:c>
      <x:c r="C15" s="11" t="n">
        <x:v>229.18</x:v>
      </x:c>
      <x:c r="D15" s="13" t="n">
        <x:f>ROUND(C15-B15,2)</x:f>
        <x:v>160.43</x:v>
      </x:c>
    </x:row>
    <x:row r="16" ht="46" customHeight="1">
      <x:c r="A16" s="14" t="str">
        <x:v>4624 WESSEL LN, MILLSTADT, IL 62260</x:v>
      </x:c>
      <x:c r="B16" s="15" t="n">
        <x:v>11.35</x:v>
      </x:c>
      <x:c r="C16" s="15" t="n">
        <x:v>37.83</x:v>
      </x:c>
      <x:c r="D16" s="13" t="n">
        <x:f>ROUND(C16-B16,2)</x:f>
        <x:v>26.48</x:v>
      </x:c>
    </x:row>
    <x:row r="17" ht="46" customHeight="1">
      <x:c r="A17" s="9" t="str">
        <x:v>4627 WESSEL LN, MILLSTADT, IL 62260</x:v>
      </x:c>
      <x:c r="B17" s="11" t="n">
        <x:v>91.92</x:v>
      </x:c>
      <x:c r="C17" s="11" t="n">
        <x:v>306.39</x:v>
      </x:c>
      <x:c r="D17" s="13" t="n">
        <x:f>ROUND(C17-B17,2)</x:f>
        <x:v>214.47</x:v>
      </x:c>
    </x:row>
    <x:row r="18" ht="46" customHeight="1">
      <x:c r="A18" s="14" t="str">
        <x:v>4635 WESSEL LN, MILLSTADT, IL 62260</x:v>
      </x:c>
      <x:c r="B18" s="15" t="n">
        <x:v>108.79</x:v>
      </x:c>
      <x:c r="C18" s="15" t="n">
        <x:v>362.65</x:v>
      </x:c>
      <x:c r="D18" s="13" t="n">
        <x:f>ROUND(C18-B18,2)</x:f>
        <x:v>253.86</x:v>
      </x:c>
    </x:row>
    <x:row r="19" ht="46" customHeight="1">
      <x:c r="A19" s="9" t="str">
        <x:v>4645 WESSEL LN, MILLSTADT, IL 62260
Parcel 12-12.0-400-021</x:v>
      </x:c>
      <x:c r="B19" s="11" t="n">
        <x:v>22.41</x:v>
      </x:c>
      <x:c r="C19" s="11" t="n">
        <x:v>74.7</x:v>
      </x:c>
      <x:c r="D19" s="13" t="n">
        <x:f>ROUND(C19-B19,2)</x:f>
        <x:v>52.29</x:v>
      </x:c>
    </x:row>
    <x:row r="20" ht="46" customHeight="1">
      <x:c r="A20" s="14" t="str">
        <x:v>4645 WESSEL LN, MILLSTADT, IL 62260
Parcel 12-12.0-400-022</x:v>
      </x:c>
      <x:c r="B20" s="15" t="n">
        <x:v>160.73</x:v>
      </x:c>
      <x:c r="C20" s="15" t="n">
        <x:v>535.76</x:v>
      </x:c>
      <x:c r="D20" s="13" t="n">
        <x:f>ROUND(C20-B20,2)</x:f>
        <x:v>375.03</x:v>
      </x:c>
    </x:row>
  </x:sheetData>
  <x:sheetProtection algorithmName="SHA-512" hashValue="iv6bBxb19AdVKnXl/wcWqojSNd4Vs0OqoMua1GazhtSSSzGHABEI+qlZ36PjkNC9rYgOHWvP9WSB9UKs8o7+zw==" saltValue="AD9E+Z4KqIlod3r8/HeAKw==" spinCount="100000" sheet="1" objects="1" scenarios="1"/>
  <x:pageMargins left="0.7" right="0.7" top="0.75" bottom="0.75" header="0.3" footer="0.3"/>
</x:worksheet>
</file>