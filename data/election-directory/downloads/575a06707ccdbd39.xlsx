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3a89909af4cec" /></Relationships>
</file>

<file path=xl/workbook.xml><?xml version="1.0" encoding="utf-8"?>
<x:workbook xmlns:x="http://schemas.openxmlformats.org/spreadsheetml/2006/main">
  <x:workbookProtection workbookAlgorithmName="SHA-512" workbookHashValue="NF7aR1HR34gqz40lGYCsNpFZqqXx4C2atuplhUdelM/1SClp7bGTHwTcxT5Ib1MLcie7lTqfLfxiepuF++TpGg==" workbookSaltValue="KXExmGjfbd3/wPbyEZtlDA==" workbookSpinCount="100000" lockStructure="1"/>
  <x:sheets>
    <x:sheet xmlns:r="http://schemas.openxmlformats.org/officeDocument/2006/relationships" name="Annual EMS taxes" sheetId="1" r:id="R987fd624c94f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34e4ae3a7453d" /><Relationship Type="http://schemas.openxmlformats.org/officeDocument/2006/relationships/theme" Target="/xl/theme/theme1.xml" Id="Race62940ec394045" /><Relationship Type="http://schemas.openxmlformats.org/officeDocument/2006/relationships/sharedStrings" Target="/xl/sharedStrings.xml" Id="Rd136ca4fd628425c" /><Relationship Type="http://schemas.openxmlformats.org/officeDocument/2006/relationships/worksheet" Target="/xl/worksheets/sheet1.xml" Id="R987fd624c94f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5815 CARRON DR, MILLSTADT, IL 62260</x:v>
      </x:c>
      <x:c r="B7" s="11" t="n">
        <x:v>59.2</x:v>
      </x:c>
      <x:c r="C7" s="11" t="n">
        <x:v>197.32</x:v>
      </x:c>
      <x:c r="D7" s="13" t="n">
        <x:f>ROUND(C7-B7,2)</x:f>
        <x:v>138.12</x:v>
      </x:c>
    </x:row>
    <x:row r="8" ht="46" customHeight="1">
      <x:c r="A8" s="14" t="str">
        <x:v>4263 DOUGLAS RD, MILLSTADT, IL 62260
Parcel 12-24.0-100-005</x:v>
      </x:c>
      <x:c r="B8" s="15" t="n">
        <x:v>3.6</x:v>
      </x:c>
      <x:c r="C8" s="15" t="n">
        <x:v>12</x:v>
      </x:c>
      <x:c r="D8" s="13" t="n">
        <x:f>ROUND(C8-B8,2)</x:f>
        <x:v>8.4</x:v>
      </x:c>
    </x:row>
    <x:row r="9" ht="46" customHeight="1">
      <x:c r="A9" s="9" t="str">
        <x:v>4414 DOUGLAS RD, MILLSTADT, IL 62260</x:v>
      </x:c>
      <x:c r="B9" s="11" t="n">
        <x:v>102.88</x:v>
      </x:c>
      <x:c r="C9" s="11" t="n">
        <x:v>342.92</x:v>
      </x:c>
      <x:c r="D9" s="13" t="n">
        <x:f>ROUND(C9-B9,2)</x:f>
        <x:v>240.04</x:v>
      </x:c>
    </x:row>
    <x:row r="10" ht="46" customHeight="1">
      <x:c r="A10" s="14" t="str">
        <x:v>4415 DOUGLAS RD, MILLSTADT, IL 62260</x:v>
      </x:c>
      <x:c r="B10" s="15" t="n">
        <x:v>90.47</x:v>
      </x:c>
      <x:c r="C10" s="15" t="n">
        <x:v>301.57</x:v>
      </x:c>
      <x:c r="D10" s="13" t="n">
        <x:f>ROUND(C10-B10,2)</x:f>
        <x:v>211.1</x:v>
      </x:c>
    </x:row>
    <x:row r="11" ht="46" customHeight="1">
      <x:c r="A11" s="9" t="str">
        <x:v>4421 DOUGLAS RD, MILLSTADT, IL 62260</x:v>
      </x:c>
      <x:c r="B11" s="11" t="n">
        <x:v>2.05</x:v>
      </x:c>
      <x:c r="C11" s="11" t="n">
        <x:v>6.85</x:v>
      </x:c>
      <x:c r="D11" s="13" t="n">
        <x:f>ROUND(C11-B11,2)</x:f>
        <x:v>4.8</x:v>
      </x:c>
    </x:row>
    <x:row r="12" ht="46" customHeight="1">
      <x:c r="A12" s="14" t="str">
        <x:v>4425 DOUGLAS RD, MILLSTADT, IL 62260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4433 DOUGLAS RD, MILLSTADT, IL 62260</x:v>
      </x:c>
      <x:c r="B13" s="11" t="n">
        <x:v>77.56</x:v>
      </x:c>
      <x:c r="C13" s="11" t="n">
        <x:v>258.53</x:v>
      </x:c>
      <x:c r="D13" s="13" t="n">
        <x:f>ROUND(C13-B13,2)</x:f>
        <x:v>180.97</x:v>
      </x:c>
    </x:row>
    <x:row r="14" ht="46" customHeight="1">
      <x:c r="A14" s="14" t="str">
        <x:v>4434 DOUGLAS RD, MILLSTADT, IL 62260</x:v>
      </x:c>
      <x:c r="B14" s="15" t="n">
        <x:v>127.7</x:v>
      </x:c>
      <x:c r="C14" s="15" t="n">
        <x:v>425.68</x:v>
      </x:c>
      <x:c r="D14" s="13" t="n">
        <x:f>ROUND(C14-B14,2)</x:f>
        <x:v>297.98</x:v>
      </x:c>
    </x:row>
    <x:row r="15" ht="46" customHeight="1">
      <x:c r="A15" s="9" t="str">
        <x:v>4449 DOUGLAS RD, MILLSTADT, IL 62260</x:v>
      </x:c>
      <x:c r="B15" s="11" t="n">
        <x:v>117.92</x:v>
      </x:c>
      <x:c r="C15" s="11" t="n">
        <x:v>393.07</x:v>
      </x:c>
      <x:c r="D15" s="13" t="n">
        <x:f>ROUND(C15-B15,2)</x:f>
        <x:v>275.15</x:v>
      </x:c>
    </x:row>
    <x:row r="16" ht="46" customHeight="1">
      <x:c r="A16" s="14" t="str">
        <x:v>4504 DOUGLAS RD, MILLSTADT, IL 62260</x:v>
      </x:c>
      <x:c r="B16" s="15" t="n">
        <x:v>68.81</x:v>
      </x:c>
      <x:c r="C16" s="15" t="n">
        <x:v>229.38</x:v>
      </x:c>
      <x:c r="D16" s="13" t="n">
        <x:f>ROUND(C16-B16,2)</x:f>
        <x:v>160.57</x:v>
      </x:c>
    </x:row>
    <x:row r="17" ht="46" customHeight="1">
      <x:c r="A17" s="9" t="str">
        <x:v>4508 DOUGLAS RD, MILLSTADT, IL 62260</x:v>
      </x:c>
      <x:c r="B17" s="11" t="n">
        <x:v>67.92</x:v>
      </x:c>
      <x:c r="C17" s="11" t="n">
        <x:v>226.39</x:v>
      </x:c>
      <x:c r="D17" s="13" t="n">
        <x:f>ROUND(C17-B17,2)</x:f>
        <x:v>158.47</x:v>
      </x:c>
    </x:row>
    <x:row r="18" ht="46" customHeight="1">
      <x:c r="A18" s="14" t="str">
        <x:v>4516 DOUGLAS RD, MILLSTADT, IL 62260</x:v>
      </x:c>
      <x:c r="B18" s="15" t="n">
        <x:v>1.72</x:v>
      </x:c>
      <x:c r="C18" s="15" t="n">
        <x:v>5.75</x:v>
      </x:c>
      <x:c r="D18" s="13" t="n">
        <x:f>ROUND(C18-B18,2)</x:f>
        <x:v>4.03</x:v>
      </x:c>
    </x:row>
    <x:row r="19" ht="46" customHeight="1">
      <x:c r="A19" s="9" t="str">
        <x:v>4517 DOUGLAS RD, MILLSTADT, IL 62260</x:v>
      </x:c>
      <x:c r="B19" s="11" t="n">
        <x:v>67.24</x:v>
      </x:c>
      <x:c r="C19" s="11" t="n">
        <x:v>224.12</x:v>
      </x:c>
      <x:c r="D19" s="13" t="n">
        <x:f>ROUND(C19-B19,2)</x:f>
        <x:v>156.88</x:v>
      </x:c>
    </x:row>
    <x:row r="20" ht="46" customHeight="1">
      <x:c r="A20" s="14" t="str">
        <x:v>4535 DOUGLAS RD, MILLSTADT, IL 62260</x:v>
      </x:c>
      <x:c r="B20" s="15" t="n">
        <x:v>92.32</x:v>
      </x:c>
      <x:c r="C20" s="15" t="n">
        <x:v>307.73</x:v>
      </x:c>
      <x:c r="D20" s="13" t="n">
        <x:f>ROUND(C20-B20,2)</x:f>
        <x:v>215.41</x:v>
      </x:c>
    </x:row>
    <x:row r="21" ht="46" customHeight="1">
      <x:c r="A21" s="9" t="str">
        <x:v>4536 DOUGLAS RD, MILLSTADT, IL 62260</x:v>
      </x:c>
      <x:c r="B21" s="11" t="n">
        <x:v>1.97</x:v>
      </x:c>
      <x:c r="C21" s="11" t="n">
        <x:v>6.58</x:v>
      </x:c>
      <x:c r="D21" s="13" t="n">
        <x:f>ROUND(C21-B21,2)</x:f>
        <x:v>4.61</x:v>
      </x:c>
    </x:row>
    <x:row r="22" ht="46" customHeight="1">
      <x:c r="A22" s="14" t="str">
        <x:v>4556 DOUGLAS RD, MILLSTADT, IL 62260</x:v>
      </x:c>
      <x:c r="B22" s="15" t="n">
        <x:v>2.98</x:v>
      </x:c>
      <x:c r="C22" s="15" t="n">
        <x:v>9.93</x:v>
      </x:c>
      <x:c r="D22" s="13" t="n">
        <x:f>ROUND(C22-B22,2)</x:f>
        <x:v>6.95</x:v>
      </x:c>
    </x:row>
    <x:row r="23" ht="46" customHeight="1">
      <x:c r="A23" s="9" t="str">
        <x:v>4600 DOUGLAS RD, MILLSTADT, IL 62260</x:v>
      </x:c>
      <x:c r="B23" s="11" t="n">
        <x:v>71.42</x:v>
      </x:c>
      <x:c r="C23" s="11" t="n">
        <x:v>238.07</x:v>
      </x:c>
      <x:c r="D23" s="13" t="n">
        <x:f>ROUND(C23-B23,2)</x:f>
        <x:v>166.65</x:v>
      </x:c>
    </x:row>
    <x:row r="24" ht="46" customHeight="1">
      <x:c r="A24" s="14" t="str">
        <x:v>4618 DOUGLAS RD, MILLSTADT, IL 62260</x:v>
      </x:c>
      <x:c r="B24" s="15" t="n">
        <x:v>15.44</x:v>
      </x:c>
      <x:c r="C24" s="15" t="n">
        <x:v>51.46</x:v>
      </x:c>
      <x:c r="D24" s="13" t="n">
        <x:f>ROUND(C24-B24,2)</x:f>
        <x:v>36.02</x:v>
      </x:c>
    </x:row>
    <x:row r="25" ht="46" customHeight="1">
      <x:c r="A25" s="9" t="str">
        <x:v>4767 DOUGLAS RD, MILLSTADT, IL 62260</x:v>
      </x:c>
      <x:c r="B25" s="11" t="n">
        <x:v>117.51</x:v>
      </x:c>
      <x:c r="C25" s="11" t="n">
        <x:v>391.69</x:v>
      </x:c>
      <x:c r="D25" s="13" t="n">
        <x:f>ROUND(C25-B25,2)</x:f>
        <x:v>274.18</x:v>
      </x:c>
    </x:row>
    <x:row r="26" ht="46" customHeight="1">
      <x:c r="A26" s="14" t="str">
        <x:v>5795 ROACHTOWN RD, MILLSTADT, IL 62260</x:v>
      </x:c>
      <x:c r="B26" s="15" t="n">
        <x:v>227.13</x:v>
      </x:c>
      <x:c r="C26" s="15" t="n">
        <x:v>757.09</x:v>
      </x:c>
      <x:c r="D26" s="13" t="n">
        <x:f>ROUND(C26-B26,2)</x:f>
        <x:v>529.96</x:v>
      </x:c>
    </x:row>
    <x:row r="27" ht="46" customHeight="1">
      <x:c r="A27" s="9" t="str">
        <x:v>5803 ROACHTOWN RD, MILLSTADT, IL 62260</x:v>
      </x:c>
      <x:c r="B27" s="11" t="n">
        <x:v>45.54</x:v>
      </x:c>
      <x:c r="C27" s="11" t="n">
        <x:v>151.79</x:v>
      </x:c>
      <x:c r="D27" s="13" t="n">
        <x:f>ROUND(C27-B27,2)</x:f>
        <x:v>106.25</x:v>
      </x:c>
    </x:row>
    <x:row r="28" ht="46" customHeight="1">
      <x:c r="A28" s="14" t="str">
        <x:v>5833 ROACHTOWN RD, MILLSTADT, IL 62260</x:v>
      </x:c>
      <x:c r="B28" s="15" t="n">
        <x:v>85.38</x:v>
      </x:c>
      <x:c r="C28" s="15" t="n">
        <x:v>284.59</x:v>
      </x:c>
      <x:c r="D28" s="13" t="n">
        <x:f>ROUND(C28-B28,2)</x:f>
        <x:v>199.21</x:v>
      </x:c>
    </x:row>
    <x:row r="29" ht="46" customHeight="1">
      <x:c r="A29" s="9" t="str">
        <x:v>5850 ROACHTOWN RD, MILLSTADT, IL 62260</x:v>
      </x:c>
      <x:c r="B29" s="11" t="n">
        <x:v>104.44</x:v>
      </x:c>
      <x:c r="C29" s="11" t="n">
        <x:v>348.12</x:v>
      </x:c>
      <x:c r="D29" s="13" t="n">
        <x:f>ROUND(C29-B29,2)</x:f>
        <x:v>243.68</x:v>
      </x:c>
    </x:row>
    <x:row r="30" ht="46" customHeight="1">
      <x:c r="A30" s="14" t="str">
        <x:v>5895 ROACHTOWN RD, MILLSTADT, IL 62260</x:v>
      </x:c>
      <x:c r="B30" s="15" t="n">
        <x:v>28.22</x:v>
      </x:c>
      <x:c r="C30" s="15" t="n">
        <x:v>94.05</x:v>
      </x:c>
      <x:c r="D30" s="13" t="n">
        <x:f>ROUND(C30-B30,2)</x:f>
        <x:v>65.83</x:v>
      </x:c>
    </x:row>
    <x:row r="31" ht="46" customHeight="1">
      <x:c r="A31" s="9" t="str">
        <x:v>5924 ROACHTOWN RD, MILLSTADT, IL 62260</x:v>
      </x:c>
      <x:c r="B31" s="11" t="n">
        <x:v>133.8</x:v>
      </x:c>
      <x:c r="C31" s="11" t="n">
        <x:v>446.01</x:v>
      </x:c>
      <x:c r="D31" s="13" t="n">
        <x:f>ROUND(C31-B31,2)</x:f>
        <x:v>312.21</x:v>
      </x:c>
    </x:row>
    <x:row r="32" ht="46" customHeight="1">
      <x:c r="A32" s="14" t="str">
        <x:v>5930 ROACHTOWN RD, MILLSTADT, IL 62260</x:v>
      </x:c>
      <x:c r="B32" s="15" t="n">
        <x:v>69.19</x:v>
      </x:c>
      <x:c r="C32" s="15" t="n">
        <x:v>230.63</x:v>
      </x:c>
      <x:c r="D32" s="13" t="n">
        <x:f>ROUND(C32-B32,2)</x:f>
        <x:v>161.44</x:v>
      </x:c>
    </x:row>
    <x:row r="33" ht="46" customHeight="1">
      <x:c r="A33" s="9" t="str">
        <x:v>5935 ROACHTOWN RD, MILLSTADT, IL 62260</x:v>
      </x:c>
      <x:c r="B33" s="11" t="n">
        <x:v>97.65</x:v>
      </x:c>
      <x:c r="C33" s="11" t="n">
        <x:v>325.49</x:v>
      </x:c>
      <x:c r="D33" s="13" t="n">
        <x:f>ROUND(C33-B33,2)</x:f>
        <x:v>227.84</x:v>
      </x:c>
    </x:row>
    <x:row r="34" ht="46" customHeight="1">
      <x:c r="A34" s="14" t="str">
        <x:v>5947 ROACHTOWN RD, MILLSTADT, IL 62260</x:v>
      </x:c>
      <x:c r="B34" s="15" t="n">
        <x:v>89.79</x:v>
      </x:c>
      <x:c r="C34" s="15" t="n">
        <x:v>299.29</x:v>
      </x:c>
      <x:c r="D34" s="13" t="n">
        <x:f>ROUND(C34-B34,2)</x:f>
        <x:v>209.5</x:v>
      </x:c>
    </x:row>
    <x:row r="35" ht="46" customHeight="1">
      <x:c r="A35" s="9" t="str">
        <x:v>5953 ROACHTOWN RD, MILLSTADT, IL 62260</x:v>
      </x:c>
      <x:c r="B35" s="11" t="n">
        <x:v>64.34</x:v>
      </x:c>
      <x:c r="C35" s="11" t="n">
        <x:v>214.45</x:v>
      </x:c>
      <x:c r="D35" s="13" t="n">
        <x:f>ROUND(C35-B35,2)</x:f>
        <x:v>150.11</x:v>
      </x:c>
    </x:row>
    <x:row r="36" ht="46" customHeight="1">
      <x:c r="A36" s="14" t="str">
        <x:v>5624 VOGEL PL, MILLSTADT, IL 62260</x:v>
      </x:c>
      <x:c r="B36" s="15" t="n">
        <x:v>109.3</x:v>
      </x:c>
      <x:c r="C36" s="15" t="n">
        <x:v>364.33</x:v>
      </x:c>
      <x:c r="D36" s="13" t="n">
        <x:f>ROUND(C36-B36,2)</x:f>
        <x:v>255.03</x:v>
      </x:c>
    </x:row>
    <x:row r="37" ht="46" customHeight="1">
      <x:c r="A37" s="9" t="str">
        <x:v>5700 VOGEL PL, MILLSTADT, IL 62260</x:v>
      </x:c>
      <x:c r="B37" s="11" t="n">
        <x:v>126.13</x:v>
      </x:c>
      <x:c r="C37" s="11" t="n">
        <x:v>420.43</x:v>
      </x:c>
      <x:c r="D37" s="13" t="n">
        <x:f>ROUND(C37-B37,2)</x:f>
        <x:v>294.3</x:v>
      </x:c>
    </x:row>
    <x:row r="38" ht="46" customHeight="1">
      <x:c r="A38" s="14" t="str">
        <x:v>5704 VOGEL PL, MILLSTADT, IL 62260</x:v>
      </x:c>
      <x:c r="B38" s="15" t="n">
        <x:v>141.77</x:v>
      </x:c>
      <x:c r="C38" s="15" t="n">
        <x:v>472.56</x:v>
      </x:c>
      <x:c r="D38" s="13" t="n">
        <x:f>ROUND(C38-B38,2)</x:f>
        <x:v>330.79</x:v>
      </x:c>
    </x:row>
    <x:row r="39" ht="46" customHeight="1">
      <x:c r="A39" s="9" t="str">
        <x:v>5712 VOGEL PL, MILLSTADT, IL 62260</x:v>
      </x:c>
      <x:c r="B39" s="11" t="n">
        <x:v>134.82</x:v>
      </x:c>
      <x:c r="C39" s="11" t="n">
        <x:v>449.39</x:v>
      </x:c>
      <x:c r="D39" s="13" t="n">
        <x:f>ROUND(C39-B39,2)</x:f>
        <x:v>314.57</x:v>
      </x:c>
    </x:row>
    <x:row r="40" ht="46" customHeight="1">
      <x:c r="A40" s="14" t="str">
        <x:v>5716 VOGEL PL, MILLSTADT, IL 62260</x:v>
      </x:c>
      <x:c r="B40" s="15" t="n">
        <x:v>116.27</x:v>
      </x:c>
      <x:c r="C40" s="15" t="n">
        <x:v>387.56</x:v>
      </x:c>
      <x:c r="D40" s="13" t="n">
        <x:f>ROUND(C40-B40,2)</x:f>
        <x:v>271.29</x:v>
      </x:c>
    </x:row>
    <x:row r="41" ht="46" customHeight="1">
      <x:c r="A41" s="9" t="str">
        <x:v>5724 VOGEL PL, MILLSTADT, IL 62260</x:v>
      </x:c>
      <x:c r="B41" s="11" t="n">
        <x:v>132.32</x:v>
      </x:c>
      <x:c r="C41" s="11" t="n">
        <x:v>441.07</x:v>
      </x:c>
      <x:c r="D41" s="13" t="n">
        <x:f>ROUND(C41-B41,2)</x:f>
        <x:v>308.75</x:v>
      </x:c>
    </x:row>
    <x:row r="42" ht="46" customHeight="1">
      <x:c r="A42" s="14" t="str">
        <x:v>5730 VOGEL PL, MILLSTADT, IL 62260</x:v>
      </x:c>
      <x:c r="B42" s="15" t="n">
        <x:v>95.14</x:v>
      </x:c>
      <x:c r="C42" s="15" t="n">
        <x:v>317.14</x:v>
      </x:c>
      <x:c r="D42" s="13" t="n">
        <x:f>ROUND(C42-B42,2)</x:f>
        <x:v>222</x:v>
      </x:c>
    </x:row>
  </x:sheetData>
  <x:sheetProtection algorithmName="SHA-512" hashValue="NF7aR1HR34gqz40lGYCsNpFZqqXx4C2atuplhUdelM/1SClp7bGTHwTcxT5Ib1MLcie7lTqfLfxiepuF++TpGg==" saltValue="KXExmGjfbd3/wPbyEZtlDA==" spinCount="100000" sheet="1" objects="1" scenarios="1"/>
  <x:pageMargins left="0.7" right="0.7" top="0.75" bottom="0.75" header="0.3" footer="0.3"/>
</x:worksheet>
</file>