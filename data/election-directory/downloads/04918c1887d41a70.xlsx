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907419bca46d2" /></Relationships>
</file>

<file path=xl/workbook.xml><?xml version="1.0" encoding="utf-8"?>
<x:workbook xmlns:x="http://schemas.openxmlformats.org/spreadsheetml/2006/main">
  <x:workbookProtection workbookAlgorithmName="SHA-512" workbookHashValue="us001a3+r9uJMW3kR2rE3X7MvXJACjVQXzfPt2XUJB7419FGBXqA5g7sMexgJGersNvPWIodgYZdzvXGvPVhVQ==" workbookSaltValue="bDOnbzWEzKvAFr7cLLqc1Q==" workbookSpinCount="100000" lockStructure="1"/>
  <x:sheets>
    <x:sheet xmlns:r="http://schemas.openxmlformats.org/officeDocument/2006/relationships" name="Annual EMS taxes" sheetId="1" r:id="R7834e9b61945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26dd2eb434843" /><Relationship Type="http://schemas.openxmlformats.org/officeDocument/2006/relationships/theme" Target="/xl/theme/theme1.xml" Id="Rba971546cc1a4728" /><Relationship Type="http://schemas.openxmlformats.org/officeDocument/2006/relationships/sharedStrings" Target="/xl/sharedStrings.xml" Id="R4d1bcb3f69bf410c" /><Relationship Type="http://schemas.openxmlformats.org/officeDocument/2006/relationships/worksheet" Target="/xl/worksheets/sheet1.xml" Id="R7834e9b6194541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36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4428 ETLING RD, MILLSTADT, IL 62260</x:v>
      </x:c>
      <x:c r="B7" s="11" t="n">
        <x:v>68.66</x:v>
      </x:c>
      <x:c r="C7" s="11" t="n">
        <x:v>228.88</x:v>
      </x:c>
      <x:c r="D7" s="13" t="n">
        <x:f>ROUND(C7-B7,2)</x:f>
        <x:v>160.22</x:v>
      </x:c>
    </x:row>
    <x:row r="8" ht="46" customHeight="1">
      <x:c r="A8" s="14" t="str">
        <x:v>4496 ETLING RD, MILLSTADT, IL 62260</x:v>
      </x:c>
      <x:c r="B8" s="15" t="n">
        <x:v>3.06</x:v>
      </x:c>
      <x:c r="C8" s="15" t="n">
        <x:v>10.19</x:v>
      </x:c>
      <x:c r="D8" s="13" t="n">
        <x:f>ROUND(C8-B8,2)</x:f>
        <x:v>7.13</x:v>
      </x:c>
    </x:row>
    <x:row r="9" ht="46" customHeight="1">
      <x:c r="A9" s="9" t="str">
        <x:v>4564 ETLING RD, MILLSTADT, IL 62260</x:v>
      </x:c>
      <x:c r="B9" s="11" t="n">
        <x:v>161.08</x:v>
      </x:c>
      <x:c r="C9" s="11" t="n">
        <x:v>536.93</x:v>
      </x:c>
      <x:c r="D9" s="13" t="n">
        <x:f>ROUND(C9-B9,2)</x:f>
        <x:v>375.85</x:v>
      </x:c>
    </x:row>
    <x:row r="10" ht="46" customHeight="1">
      <x:c r="A10" s="14" t="str">
        <x:v>4565 ETLING RD, MILLSTADT, IL 62260</x:v>
      </x:c>
      <x:c r="B10" s="15" t="n">
        <x:v>17.85</x:v>
      </x:c>
      <x:c r="C10" s="15" t="n">
        <x:v>59.49</x:v>
      </x:c>
      <x:c r="D10" s="13" t="n">
        <x:f>ROUND(C10-B10,2)</x:f>
        <x:v>41.64</x:v>
      </x:c>
    </x:row>
    <x:row r="11" ht="46" customHeight="1">
      <x:c r="A11" s="9" t="str">
        <x:v>4569 ETLING RD, MILLSTADT, IL 62260 (TOWER SITE)</x:v>
      </x:c>
      <x:c r="B11" s="11" t="n">
        <x:v>104.77</x:v>
      </x:c>
      <x:c r="C11" s="11" t="n">
        <x:v>349.23</x:v>
      </x:c>
      <x:c r="D11" s="13" t="n">
        <x:f>ROUND(C11-B11,2)</x:f>
        <x:v>244.46</x:v>
      </x:c>
    </x:row>
    <x:row r="12" ht="46" customHeight="1">
      <x:c r="A12" s="14" t="str">
        <x:v>4639 ETLING RD, MILLSTADT, IL 62260</x:v>
      </x:c>
      <x:c r="B12" s="15" t="n">
        <x:v>31.57</x:v>
      </x:c>
      <x:c r="C12" s="15" t="n">
        <x:v>105.23</x:v>
      </x:c>
      <x:c r="D12" s="13" t="n">
        <x:f>ROUND(C12-B12,2)</x:f>
        <x:v>73.66</x:v>
      </x:c>
    </x:row>
    <x:row r="13" ht="46" customHeight="1">
      <x:c r="A13" s="9" t="str">
        <x:v>4815 QUIRIN RD, SMITHTON, IL 62285</x:v>
      </x:c>
      <x:c r="B13" s="11" t="n">
        <x:v>33.7</x:v>
      </x:c>
      <x:c r="C13" s="11" t="n">
        <x:v>112.35</x:v>
      </x:c>
      <x:c r="D13" s="13" t="n">
        <x:f>ROUND(C13-B13,2)</x:f>
        <x:v>78.65</x:v>
      </x:c>
    </x:row>
    <x:row r="14" ht="46" customHeight="1">
      <x:c r="A14" s="14" t="str">
        <x:v>4830 QUIRIN RD, SMITHTON, IL 62285</x:v>
      </x:c>
      <x:c r="B14" s="15" t="n">
        <x:v>62.14</x:v>
      </x:c>
      <x:c r="C14" s="15" t="n">
        <x:v>207.12</x:v>
      </x:c>
      <x:c r="D14" s="13" t="n">
        <x:f>ROUND(C14-B14,2)</x:f>
        <x:v>144.98</x:v>
      </x:c>
    </x:row>
    <x:row r="15" ht="46" customHeight="1">
      <x:c r="A15" s="9" t="str">
        <x:v>4922 QUIRIN RD, SMITHTON, IL 62285</x:v>
      </x:c>
      <x:c r="B15" s="11" t="n">
        <x:v>105.2</x:v>
      </x:c>
      <x:c r="C15" s="11" t="n">
        <x:v>350.68</x:v>
      </x:c>
      <x:c r="D15" s="13" t="n">
        <x:f>ROUND(C15-B15,2)</x:f>
        <x:v>245.48</x:v>
      </x:c>
    </x:row>
    <x:row r="16" ht="46" customHeight="1">
      <x:c r="A16" s="14" t="str">
        <x:v>4957 QUIRIN RD, SMITHTON, IL 62285
Parcel 12-36.0-400-010</x:v>
      </x:c>
      <x:c r="B16" s="15" t="n">
        <x:v>205.52</x:v>
      </x:c>
      <x:c r="C16" s="15" t="n">
        <x:v>685.08</x:v>
      </x:c>
      <x:c r="D16" s="13" t="n">
        <x:f>ROUND(C16-B16,2)</x:f>
        <x:v>479.56</x:v>
      </x:c>
    </x:row>
    <x:row r="17" ht="46" customHeight="1">
      <x:c r="A17" s="9" t="str">
        <x:v>4957 QUIRIN RD, SMITHTON, IL 62285
Parcel 12-36.0-400-013</x:v>
      </x:c>
      <x:c r="B17" s="11" t="n">
        <x:v>14.24</x:v>
      </x:c>
      <x:c r="C17" s="11" t="n">
        <x:v>47.48</x:v>
      </x:c>
      <x:c r="D17" s="13" t="n">
        <x:f>ROUND(C17-B17,2)</x:f>
        <x:v>33.24</x:v>
      </x:c>
    </x:row>
    <x:row r="18" ht="46" customHeight="1">
      <x:c r="A18" s="14" t="str">
        <x:v>4957 QUIRIN RD, SMITHTON, IL 62285
Parcel 12-36.0-400-018</x:v>
      </x:c>
      <x:c r="B18" s="15" t="n">
        <x:v>1.46</x:v>
      </x:c>
      <x:c r="C18" s="15" t="n">
        <x:v>4.86</x:v>
      </x:c>
      <x:c r="D18" s="13" t="n">
        <x:f>ROUND(C18-B18,2)</x:f>
        <x:v>3.4</x:v>
      </x:c>
    </x:row>
    <x:row r="19" ht="46" customHeight="1">
      <x:c r="A19" s="9" t="str">
        <x:v>4725 SAND ROCK RD, SMITHTON, IL 62285</x:v>
      </x:c>
      <x:c r="B19" s="11" t="n">
        <x:v>93.42</x:v>
      </x:c>
      <x:c r="C19" s="11" t="n">
        <x:v>311.41</x:v>
      </x:c>
      <x:c r="D19" s="13" t="n">
        <x:f>ROUND(C19-B19,2)</x:f>
        <x:v>217.99</x:v>
      </x:c>
    </x:row>
    <x:row r="20" ht="46" customHeight="1">
      <x:c r="A20" s="14" t="str">
        <x:v>4769 SAND ROCK RD, SMITHTON, IL 62285</x:v>
      </x:c>
      <x:c r="B20" s="15" t="n">
        <x:v>118.31</x:v>
      </x:c>
      <x:c r="C20" s="15" t="n">
        <x:v>394.37</x:v>
      </x:c>
      <x:c r="D20" s="13" t="n">
        <x:f>ROUND(C20-B20,2)</x:f>
        <x:v>276.06</x:v>
      </x:c>
    </x:row>
  </x:sheetData>
  <x:sheetProtection algorithmName="SHA-512" hashValue="us001a3+r9uJMW3kR2rE3X7MvXJACjVQXzfPt2XUJB7419FGBXqA5g7sMexgJGersNvPWIodgYZdzvXGvPVhVQ==" saltValue="bDOnbzWEzKvAFr7cLLqc1Q==" spinCount="100000" sheet="1" objects="1" scenarios="1"/>
  <x:pageMargins left="0.7" right="0.7" top="0.75" bottom="0.75" header="0.3" footer="0.3"/>
</x:worksheet>
</file>