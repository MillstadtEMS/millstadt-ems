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ed2d5e1fd442f" /></Relationships>
</file>

<file path=xl/workbook.xml><?xml version="1.0" encoding="utf-8"?>
<x:workbook xmlns:x="http://schemas.openxmlformats.org/spreadsheetml/2006/main">
  <x:workbookProtection workbookAlgorithmName="SHA-512" workbookHashValue="wur4chOVTyiXTJmmcSL83utsAeVxyyE2Ifm5tZ+HOSK/mlZmLk+8u4a2REnAVuGfailh3I+OE9Af5UtvnSE5zA==" workbookSaltValue="LjH2Xkd32uQbgdXxn090EA==" workbookSpinCount="100000" lockStructure="1"/>
  <x:sheets>
    <x:sheet xmlns:r="http://schemas.openxmlformats.org/officeDocument/2006/relationships" name="Annual EMS taxes" sheetId="1" r:id="Rf7e7f339dcf949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20199e76e4c15" /><Relationship Type="http://schemas.openxmlformats.org/officeDocument/2006/relationships/theme" Target="/xl/theme/theme1.xml" Id="Rf14690a4781e4a41" /><Relationship Type="http://schemas.openxmlformats.org/officeDocument/2006/relationships/sharedStrings" Target="/xl/sharedStrings.xml" Id="R2bf36e5c4a54405a" /><Relationship Type="http://schemas.openxmlformats.org/officeDocument/2006/relationships/worksheet" Target="/xl/worksheets/sheet1.xml" Id="Rf7e7f339dcf949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SMITHTON TWP SEC 6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732 BLUE BIRD LN, BELLEVILLE, IL 62223</x:v>
      </x:c>
      <x:c r="B7" s="11" t="n">
        <x:v>0</x:v>
      </x:c>
      <x:c r="C7" s="11" t="n">
        <x:v>0</x:v>
      </x:c>
      <x:c r="D7" s="13" t="n">
        <x:f>ROUND(C7-B7,2)</x:f>
        <x:v>0</x:v>
      </x:c>
    </x:row>
    <x:row r="8" ht="46" customHeight="1">
      <x:c r="A8" s="14" t="str">
        <x:v>504 BLUEBIRD LN, BELLEVILLE, IL 62226</x:v>
      </x:c>
      <x:c r="B8" s="15" t="n">
        <x:v>0</x:v>
      </x:c>
      <x:c r="C8" s="15" t="n">
        <x:v>0</x:v>
      </x:c>
      <x:c r="D8" s="13" t="n">
        <x:f>ROUND(C8-B8,2)</x:f>
        <x:v>0</x:v>
      </x:c>
    </x:row>
    <x:row r="9" ht="46" customHeight="1">
      <x:c r="A9" s="9" t="str">
        <x:v>520 BLUEBIRD LN, BELLEVILLE, IL 62226</x:v>
      </x:c>
      <x:c r="B9" s="11" t="n">
        <x:v>33.29</x:v>
      </x:c>
      <x:c r="C9" s="11" t="n">
        <x:v>110.97</x:v>
      </x:c>
      <x:c r="D9" s="13" t="n">
        <x:f>ROUND(C9-B9,2)</x:f>
        <x:v>77.68</x:v>
      </x:c>
    </x:row>
    <x:row r="10" ht="46" customHeight="1">
      <x:c r="A10" s="14" t="str">
        <x:v>3700 CENTREVILLE AVE, BELLEVILLE, IL 62223</x:v>
      </x:c>
      <x:c r="B10" s="15" t="n">
        <x:v>31.66</x:v>
      </x:c>
      <x:c r="C10" s="15" t="n">
        <x:v>105.54</x:v>
      </x:c>
      <x:c r="D10" s="13" t="n">
        <x:f>ROUND(C10-B10,2)</x:f>
        <x:v>73.88</x:v>
      </x:c>
    </x:row>
    <x:row r="11" ht="46" customHeight="1">
      <x:c r="A11" s="9" t="str">
        <x:v>3709 CENTREVILLE AVE, BELLEVILLE, IL 62223
Parcel 13-06.0-100-001</x:v>
      </x:c>
      <x:c r="B11" s="11" t="n">
        <x:v>0.65</x:v>
      </x:c>
      <x:c r="C11" s="11" t="n">
        <x:v>2.16</x:v>
      </x:c>
      <x:c r="D11" s="13" t="n">
        <x:f>ROUND(C11-B11,2)</x:f>
        <x:v>1.51</x:v>
      </x:c>
    </x:row>
    <x:row r="12" ht="46" customHeight="1">
      <x:c r="A12" s="14" t="str">
        <x:v>3800 CENTREVILLE AVE, BELLEVILLE, IL 62223</x:v>
      </x:c>
      <x:c r="B12" s="15" t="n">
        <x:v>33.53</x:v>
      </x:c>
      <x:c r="C12" s="15" t="n">
        <x:v>111.77</x:v>
      </x:c>
      <x:c r="D12" s="13" t="n">
        <x:f>ROUND(C12-B12,2)</x:f>
        <x:v>78.24</x:v>
      </x:c>
    </x:row>
    <x:row r="13" ht="46" customHeight="1">
      <x:c r="A13" s="9" t="str">
        <x:v>3808 CENTREVILLE AVE, BELLEVILLE, IL 62226</x:v>
      </x:c>
      <x:c r="B13" s="11" t="n">
        <x:v>62.84</x:v>
      </x:c>
      <x:c r="C13" s="11" t="n">
        <x:v>209.45</x:v>
      </x:c>
      <x:c r="D13" s="13" t="n">
        <x:f>ROUND(C13-B13,2)</x:f>
        <x:v>146.61</x:v>
      </x:c>
    </x:row>
    <x:row r="14" ht="46" customHeight="1">
      <x:c r="A14" s="14" t="str">
        <x:v>517 HOFFMANN LN, BELLEVILLE, IL 62226</x:v>
      </x:c>
      <x:c r="B14" s="15" t="n">
        <x:v>98.04</x:v>
      </x:c>
      <x:c r="C14" s="15" t="n">
        <x:v>326.81</x:v>
      </x:c>
      <x:c r="D14" s="13" t="n">
        <x:f>ROUND(C14-B14,2)</x:f>
        <x:v>228.77</x:v>
      </x:c>
    </x:row>
    <x:row r="15" ht="46" customHeight="1">
      <x:c r="A15" s="9" t="str">
        <x:v>608 HOFFMANN LN, BELLEVILLE, IL 62226</x:v>
      </x:c>
      <x:c r="B15" s="11" t="n">
        <x:v>31.3</x:v>
      </x:c>
      <x:c r="C15" s="11" t="n">
        <x:v>104.33</x:v>
      </x:c>
      <x:c r="D15" s="13" t="n">
        <x:f>ROUND(C15-B15,2)</x:f>
        <x:v>73.03</x:v>
      </x:c>
    </x:row>
    <x:row r="16" ht="46" customHeight="1">
      <x:c r="A16" s="14" t="str">
        <x:v>640 HOFFMANN LN, BELLEVILLE, IL 62223</x:v>
      </x:c>
      <x:c r="B16" s="15" t="n">
        <x:v>56.48</x:v>
      </x:c>
      <x:c r="C16" s="15" t="n">
        <x:v>188.26</x:v>
      </x:c>
      <x:c r="D16" s="13" t="n">
        <x:f>ROUND(C16-B16,2)</x:f>
        <x:v>131.78</x:v>
      </x:c>
    </x:row>
    <x:row r="17" ht="46" customHeight="1">
      <x:c r="A17" s="9" t="str">
        <x:v>3838 OLD OAK LN, BELLEVILLE, IL 62223</x:v>
      </x:c>
      <x:c r="B17" s="11" t="n">
        <x:v>26.21</x:v>
      </x:c>
      <x:c r="C17" s="11" t="n">
        <x:v>87.36</x:v>
      </x:c>
      <x:c r="D17" s="13" t="n">
        <x:f>ROUND(C17-B17,2)</x:f>
        <x:v>61.15</x:v>
      </x:c>
    </x:row>
    <x:row r="18" ht="46" customHeight="1">
      <x:c r="A18" s="14" t="str">
        <x:v>3846 OLD OAK LN, BELLEVILLE, IL 62223</x:v>
      </x:c>
      <x:c r="B18" s="15" t="n">
        <x:v>54.3</x:v>
      </x:c>
      <x:c r="C18" s="15" t="n">
        <x:v>181.01</x:v>
      </x:c>
      <x:c r="D18" s="13" t="n">
        <x:f>ROUND(C18-B18,2)</x:f>
        <x:v>126.71</x:v>
      </x:c>
    </x:row>
    <x:row r="19" ht="46" customHeight="1">
      <x:c r="A19" s="9" t="str">
        <x:v>3851 OLD OAK LN, BELLEVILLE, IL 62226</x:v>
      </x:c>
      <x:c r="B19" s="11" t="n">
        <x:v>14.83</x:v>
      </x:c>
      <x:c r="C19" s="11" t="n">
        <x:v>49.44</x:v>
      </x:c>
      <x:c r="D19" s="13" t="n">
        <x:f>ROUND(C19-B19,2)</x:f>
        <x:v>34.61</x:v>
      </x:c>
    </x:row>
    <x:row r="20" ht="46" customHeight="1">
      <x:c r="A20" s="14" t="str">
        <x:v>3857 &amp; 3859 OLD OAK LN, BELLEVILLE, IL 62223</x:v>
      </x:c>
      <x:c r="B20" s="15" t="n">
        <x:v>59.07</x:v>
      </x:c>
      <x:c r="C20" s="15" t="n">
        <x:v>196.9</x:v>
      </x:c>
      <x:c r="D20" s="13" t="n">
        <x:f>ROUND(C20-B20,2)</x:f>
        <x:v>137.83</x:v>
      </x:c>
    </x:row>
    <x:row r="21" ht="46" customHeight="1">
      <x:c r="A21" s="9" t="str">
        <x:v>3900 OLD OAK LN, BELLEVILLE, IL 62223</x:v>
      </x:c>
      <x:c r="B21" s="11" t="n">
        <x:v>47.54</x:v>
      </x:c>
      <x:c r="C21" s="11" t="n">
        <x:v>158.48</x:v>
      </x:c>
      <x:c r="D21" s="13" t="n">
        <x:f>ROUND(C21-B21,2)</x:f>
        <x:v>110.94</x:v>
      </x:c>
    </x:row>
    <x:row r="22" ht="46" customHeight="1">
      <x:c r="A22" s="14" t="str">
        <x:v>2701 PARK RD, BELLEVILLE, IL 62220</x:v>
      </x:c>
      <x:c r="B22" s="15" t="n">
        <x:v>3.86</x:v>
      </x:c>
      <x:c r="C22" s="15" t="n">
        <x:v>12.88</x:v>
      </x:c>
      <x:c r="D22" s="13" t="n">
        <x:f>ROUND(C22-B22,2)</x:f>
        <x:v>9.02</x:v>
      </x:c>
    </x:row>
    <x:row r="23" ht="46" customHeight="1">
      <x:c r="A23" s="9" t="str">
        <x:v>6908 ROACHTOWN RD, BELLEVILLE, IL 62221</x:v>
      </x:c>
      <x:c r="B23" s="11" t="n">
        <x:v>5.9</x:v>
      </x:c>
      <x:c r="C23" s="11" t="n">
        <x:v>19.67</x:v>
      </x:c>
      <x:c r="D23" s="13" t="n">
        <x:f>ROUND(C23-B23,2)</x:f>
        <x:v>13.77</x:v>
      </x:c>
    </x:row>
  </x:sheetData>
  <x:sheetProtection algorithmName="SHA-512" hashValue="wur4chOVTyiXTJmmcSL83utsAeVxyyE2Ifm5tZ+HOSK/mlZmLk+8u4a2REnAVuGfailh3I+OE9Af5UtvnSE5zA==" saltValue="LjH2Xkd32uQbgdXxn090EA==" spinCount="100000" sheet="1" objects="1" scenarios="1"/>
  <x:pageMargins left="0.7" right="0.7" top="0.75" bottom="0.75" header="0.3" footer="0.3"/>
</x:worksheet>
</file>