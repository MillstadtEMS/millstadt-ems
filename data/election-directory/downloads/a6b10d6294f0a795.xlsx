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cf1147adb0499e" /></Relationships>
</file>

<file path=xl/workbook.xml><?xml version="1.0" encoding="utf-8"?>
<x:workbook xmlns:x="http://schemas.openxmlformats.org/spreadsheetml/2006/main">
  <x:workbookProtection workbookAlgorithmName="SHA-512" workbookHashValue="xZ93tRjcz4szbNLdOdosd+sB0weyhtNawD/qzcOIKuBcUE2ImCjQPnjb1b3BVADaWJXAvL7iyKsrRKinXU5E/A==" workbookSaltValue="YW92TD8EArXlwaEcO5tSUQ==" workbookSpinCount="100000" lockStructure="1"/>
  <x:sheets>
    <x:sheet xmlns:r="http://schemas.openxmlformats.org/officeDocument/2006/relationships" name="Annual EMS taxes" sheetId="1" r:id="R1c6519efc74a4d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0b1d2a6f074e4f" /><Relationship Type="http://schemas.openxmlformats.org/officeDocument/2006/relationships/theme" Target="/xl/theme/theme1.xml" Id="R5328cb427e264f36" /><Relationship Type="http://schemas.openxmlformats.org/officeDocument/2006/relationships/sharedStrings" Target="/xl/sharedStrings.xml" Id="R9af34f628e764b99" /><Relationship Type="http://schemas.openxmlformats.org/officeDocument/2006/relationships/worksheet" Target="/xl/worksheets/sheet1.xml" Id="R1c6519efc74a4d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MILLSTADT TWP SEC 3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4408 BOHLEYSVILLE RD, WATERLOO, IL 62298</x:v>
      </x:c>
      <x:c r="B7" s="11" t="n">
        <x:v>0</x:v>
      </x:c>
      <x:c r="C7" s="11" t="n">
        <x:v>193.16</x:v>
      </x:c>
      <x:c r="D7" s="13" t="n">
        <x:f>ROUND(C7-B7,2)</x:f>
        <x:v>193.16</x:v>
      </x:c>
    </x:row>
    <x:row r="8" ht="46" customHeight="1">
      <x:c r="A8" s="14" t="str">
        <x:v>4490 BOHLEYSVILLE RD, WATERLOO, IL 62298</x:v>
      </x:c>
      <x:c r="B8" s="15" t="n">
        <x:v>0</x:v>
      </x:c>
      <x:c r="C8" s="15" t="n">
        <x:v>27.68</x:v>
      </x:c>
      <x:c r="D8" s="13" t="n">
        <x:f>ROUND(C8-B8,2)</x:f>
        <x:v>27.68</x:v>
      </x:c>
    </x:row>
    <x:row r="9" ht="46" customHeight="1">
      <x:c r="A9" s="9" t="str">
        <x:v>801 E WASHINGTON ST, MILLSTADT, IL 62260</x:v>
      </x:c>
      <x:c r="B9" s="11" t="n">
        <x:v>19.83</x:v>
      </x:c>
      <x:c r="C9" s="11" t="n">
        <x:v>66.1</x:v>
      </x:c>
      <x:c r="D9" s="13" t="n">
        <x:f>ROUND(C9-B9,2)</x:f>
        <x:v>46.27</x:v>
      </x:c>
    </x:row>
    <x:row r="10" ht="46" customHeight="1">
      <x:c r="A10" s="14" t="str">
        <x:v>3606 FOSSIL CREEK LN, WATERLOO, IL 62298</x:v>
      </x:c>
      <x:c r="B10" s="15" t="n">
        <x:v>0</x:v>
      </x:c>
      <x:c r="C10" s="15" t="n">
        <x:v>5.44</x:v>
      </x:c>
      <x:c r="D10" s="13" t="n">
        <x:f>ROUND(C10-B10,2)</x:f>
        <x:v>5.44</x:v>
      </x:c>
    </x:row>
    <x:row r="11" ht="46" customHeight="1">
      <x:c r="A11" s="9" t="str">
        <x:v>3610 FOSSIL CREEK LN, WATERLOO, IL 62298</x:v>
      </x:c>
      <x:c r="B11" s="11" t="n">
        <x:v>0</x:v>
      </x:c>
      <x:c r="C11" s="11" t="n">
        <x:v>272.45</x:v>
      </x:c>
      <x:c r="D11" s="13" t="n">
        <x:f>ROUND(C11-B11,2)</x:f>
        <x:v>272.45</x:v>
      </x:c>
    </x:row>
    <x:row r="12" ht="46" customHeight="1">
      <x:c r="A12" s="14" t="str">
        <x:v>3614 FOSSIL CREEK LN, WATERLOO, IL 62298</x:v>
      </x:c>
      <x:c r="B12" s="15" t="n">
        <x:v>0</x:v>
      </x:c>
      <x:c r="C12" s="15" t="n">
        <x:v>388.05</x:v>
      </x:c>
      <x:c r="D12" s="13" t="n">
        <x:f>ROUND(C12-B12,2)</x:f>
        <x:v>388.05</x:v>
      </x:c>
    </x:row>
    <x:row r="13" ht="46" customHeight="1">
      <x:c r="A13" s="9" t="str">
        <x:v>3808 LOWER SAXTOWN RD, WATERLOO, IL 62298</x:v>
      </x:c>
      <x:c r="B13" s="11" t="n">
        <x:v>12.18</x:v>
      </x:c>
      <x:c r="C13" s="11" t="n">
        <x:v>40.59</x:v>
      </x:c>
      <x:c r="D13" s="13" t="n">
        <x:f>ROUND(C13-B13,2)</x:f>
        <x:v>28.41</x:v>
      </x:c>
    </x:row>
    <x:row r="14" ht="46" customHeight="1">
      <x:c r="A14" s="14" t="str">
        <x:v>3814 LOWER SAXTOWN RD, WATERLOO, IL 62298</x:v>
      </x:c>
      <x:c r="B14" s="15" t="n">
        <x:v>62.53</x:v>
      </x:c>
      <x:c r="C14" s="15" t="n">
        <x:v>208.44</x:v>
      </x:c>
      <x:c r="D14" s="13" t="n">
        <x:f>ROUND(C14-B14,2)</x:f>
        <x:v>145.91</x:v>
      </x:c>
    </x:row>
    <x:row r="15" ht="46" customHeight="1">
      <x:c r="A15" s="9" t="str">
        <x:v>3822 LOWER SAXTOWN RD, WATERLOO, IL 62298</x:v>
      </x:c>
      <x:c r="B15" s="11" t="n">
        <x:v>132.64</x:v>
      </x:c>
      <x:c r="C15" s="11" t="n">
        <x:v>442.14</x:v>
      </x:c>
      <x:c r="D15" s="13" t="n">
        <x:f>ROUND(C15-B15,2)</x:f>
        <x:v>309.5</x:v>
      </x:c>
    </x:row>
    <x:row r="16" ht="46" customHeight="1">
      <x:c r="A16" s="14" t="str">
        <x:v>3830 LOWER SAXTOWN RD, WATERLOO, IL 62298</x:v>
      </x:c>
      <x:c r="B16" s="15" t="n">
        <x:v>115.57</x:v>
      </x:c>
      <x:c r="C16" s="15" t="n">
        <x:v>385.22</x:v>
      </x:c>
      <x:c r="D16" s="13" t="n">
        <x:f>ROUND(C16-B16,2)</x:f>
        <x:v>269.65</x:v>
      </x:c>
    </x:row>
    <x:row r="17" ht="46" customHeight="1">
      <x:c r="A17" s="9" t="str">
        <x:v>3854 LOWER SAXTOWN RD, WATERLOO, IL 62298</x:v>
      </x:c>
      <x:c r="B17" s="11" t="n">
        <x:v>212.8</x:v>
      </x:c>
      <x:c r="C17" s="11" t="n">
        <x:v>709.33</x:v>
      </x:c>
      <x:c r="D17" s="13" t="n">
        <x:f>ROUND(C17-B17,2)</x:f>
        <x:v>496.53</x:v>
      </x:c>
    </x:row>
    <x:row r="18" ht="46" customHeight="1">
      <x:c r="A18" s="14" t="str">
        <x:v>3900 LOWER SAXTOWN RD, WATERLOO, IL 62298</x:v>
      </x:c>
      <x:c r="B18" s="15" t="n">
        <x:v>43.81</x:v>
      </x:c>
      <x:c r="C18" s="15" t="n">
        <x:v>146.03</x:v>
      </x:c>
      <x:c r="D18" s="13" t="n">
        <x:f>ROUND(C18-B18,2)</x:f>
        <x:v>102.22</x:v>
      </x:c>
    </x:row>
    <x:row r="19" ht="46" customHeight="1">
      <x:c r="A19" s="9" t="str">
        <x:v>3705 MAC LN, WATERLOO, IL 62298
Parcel 16-03.0-101-028</x:v>
      </x:c>
      <x:c r="B19" s="11" t="n">
        <x:v>77.48</x:v>
      </x:c>
      <x:c r="C19" s="11" t="n">
        <x:v>258.27</x:v>
      </x:c>
      <x:c r="D19" s="13" t="n">
        <x:f>ROUND(C19-B19,2)</x:f>
        <x:v>180.79</x:v>
      </x:c>
    </x:row>
    <x:row r="20" ht="46" customHeight="1">
      <x:c r="A20" s="14" t="str">
        <x:v>3710 MAC LN, WATERLOO, IL 62298
Parcel 16-03.0-101-029</x:v>
      </x:c>
      <x:c r="B20" s="15" t="n">
        <x:v>68.71</x:v>
      </x:c>
      <x:c r="C20" s="15" t="n">
        <x:v>229.03</x:v>
      </x:c>
      <x:c r="D20" s="13" t="n">
        <x:f>ROUND(C20-B20,2)</x:f>
        <x:v>160.32</x:v>
      </x:c>
    </x:row>
    <x:row r="21" ht="46" customHeight="1">
      <x:c r="A21" s="9" t="str">
        <x:v>3734 MINE HAUL RD, MILLSTADT, IL 62260</x:v>
      </x:c>
      <x:c r="B21" s="11" t="n">
        <x:v>9.67</x:v>
      </x:c>
      <x:c r="C21" s="11" t="n">
        <x:v>32.23</x:v>
      </x:c>
      <x:c r="D21" s="13" t="n">
        <x:f>ROUND(C21-B21,2)</x:f>
        <x:v>22.56</x:v>
      </x:c>
    </x:row>
    <x:row r="22" ht="46" customHeight="1">
      <x:c r="A22" s="14" t="str">
        <x:v>3802 MINE HAUL RD, MILLSTADT, IL 62260
Parcel 12-03.0-100-010</x:v>
      </x:c>
      <x:c r="B22" s="15" t="n">
        <x:v>163.75</x:v>
      </x:c>
      <x:c r="C22" s="15" t="n">
        <x:v>545.84</x:v>
      </x:c>
      <x:c r="D22" s="13" t="n">
        <x:f>ROUND(C22-B22,2)</x:f>
        <x:v>382.09</x:v>
      </x:c>
    </x:row>
    <x:row r="23" ht="46" customHeight="1">
      <x:c r="A23" s="9" t="str">
        <x:v>3802 MINE HAUL RD, MILLSTADT, IL 62260
Parcel 12-03.0-100-011</x:v>
      </x:c>
      <x:c r="B23" s="11" t="n">
        <x:v>1.8</x:v>
      </x:c>
      <x:c r="C23" s="11" t="n">
        <x:v>6.01</x:v>
      </x:c>
      <x:c r="D23" s="13" t="n">
        <x:f>ROUND(C23-B23,2)</x:f>
        <x:v>4.21</x:v>
      </x:c>
    </x:row>
    <x:row r="24" ht="46" customHeight="1">
      <x:c r="A24" s="14" t="str">
        <x:v>7170 OLIVE TREE LN, MILLSTADT, IL 62260</x:v>
      </x:c>
      <x:c r="B24" s="15" t="n">
        <x:v>25.98</x:v>
      </x:c>
      <x:c r="C24" s="15" t="n">
        <x:v>86.6</x:v>
      </x:c>
      <x:c r="D24" s="13" t="n">
        <x:f>ROUND(C24-B24,2)</x:f>
        <x:v>60.62</x:v>
      </x:c>
    </x:row>
    <x:row r="25" ht="46" customHeight="1">
      <x:c r="A25" s="9" t="str">
        <x:v>3606 SCHRANZ LN, MILLSTADT, IL 62260</x:v>
      </x:c>
      <x:c r="B25" s="11" t="n">
        <x:v>71.53</x:v>
      </x:c>
      <x:c r="C25" s="11" t="n">
        <x:v>238.43</x:v>
      </x:c>
      <x:c r="D25" s="13" t="n">
        <x:f>ROUND(C25-B25,2)</x:f>
        <x:v>166.9</x:v>
      </x:c>
    </x:row>
    <x:row r="26" ht="46" customHeight="1">
      <x:c r="A26" s="14" t="str">
        <x:v>3607 SCHRANZ LN, MILLSTADT, IL 62260</x:v>
      </x:c>
      <x:c r="B26" s="15" t="n">
        <x:v>70</x:v>
      </x:c>
      <x:c r="C26" s="15" t="n">
        <x:v>233.35</x:v>
      </x:c>
      <x:c r="D26" s="13" t="n">
        <x:f>ROUND(C26-B26,2)</x:f>
        <x:v>163.35</x:v>
      </x:c>
    </x:row>
    <x:row r="27" ht="46" customHeight="1">
      <x:c r="A27" s="9" t="str">
        <x:v>3612 SCHRANZ LN, MILLSTADT, IL 62260</x:v>
      </x:c>
      <x:c r="B27" s="11" t="n">
        <x:v>66.34</x:v>
      </x:c>
      <x:c r="C27" s="11" t="n">
        <x:v>221.12</x:v>
      </x:c>
      <x:c r="D27" s="13" t="n">
        <x:f>ROUND(C27-B27,2)</x:f>
        <x:v>154.78</x:v>
      </x:c>
    </x:row>
    <x:row r="28" ht="46" customHeight="1">
      <x:c r="A28" s="14" t="str">
        <x:v>6906 STATE RT 163, MILLSTADT, IL 62260</x:v>
      </x:c>
      <x:c r="B28" s="15" t="n">
        <x:v>57.64</x:v>
      </x:c>
      <x:c r="C28" s="15" t="n">
        <x:v>192.13</x:v>
      </x:c>
      <x:c r="D28" s="13" t="n">
        <x:f>ROUND(C28-B28,2)</x:f>
        <x:v>134.49</x:v>
      </x:c>
    </x:row>
    <x:row r="29" ht="46" customHeight="1">
      <x:c r="A29" s="9" t="str">
        <x:v>6910 STATE RT 163, MILLSTADT, IL 62260</x:v>
      </x:c>
      <x:c r="B29" s="11" t="n">
        <x:v>106.42</x:v>
      </x:c>
      <x:c r="C29" s="11" t="n">
        <x:v>354.72</x:v>
      </x:c>
      <x:c r="D29" s="13" t="n">
        <x:f>ROUND(C29-B29,2)</x:f>
        <x:v>248.3</x:v>
      </x:c>
    </x:row>
    <x:row r="30" ht="46" customHeight="1">
      <x:c r="A30" s="14" t="str">
        <x:v>7002 STATE RT 163, MILLSTADT, IL 62260</x:v>
      </x:c>
      <x:c r="B30" s="15" t="n">
        <x:v>99.57</x:v>
      </x:c>
      <x:c r="C30" s="15" t="n">
        <x:v>331.89</x:v>
      </x:c>
      <x:c r="D30" s="13" t="n">
        <x:f>ROUND(C30-B30,2)</x:f>
        <x:v>232.32</x:v>
      </x:c>
    </x:row>
    <x:row r="31" ht="46" customHeight="1">
      <x:c r="A31" s="9" t="str">
        <x:v>6802 STATE RTE 163, MILLSTADT, IL 62260</x:v>
      </x:c>
      <x:c r="B31" s="11" t="n">
        <x:v>70.09</x:v>
      </x:c>
      <x:c r="C31" s="11" t="n">
        <x:v>233.62</x:v>
      </x:c>
      <x:c r="D31" s="13" t="n">
        <x:f>ROUND(C31-B31,2)</x:f>
        <x:v>163.53</x:v>
      </x:c>
    </x:row>
    <x:row r="32" ht="46" customHeight="1">
      <x:c r="A32" s="14" t="str">
        <x:v>6856 STATE RTE 163, MILLSTADT, IL 62260</x:v>
      </x:c>
      <x:c r="B32" s="15" t="n">
        <x:v>55.9</x:v>
      </x:c>
      <x:c r="C32" s="15" t="n">
        <x:v>186.32</x:v>
      </x:c>
      <x:c r="D32" s="13" t="n">
        <x:f>ROUND(C32-B32,2)</x:f>
        <x:v>130.42</x:v>
      </x:c>
    </x:row>
    <x:row r="33" ht="46" customHeight="1">
      <x:c r="A33" s="9" t="str">
        <x:v>6904 STATE RTE 163, MILLSTADT, IL 62260</x:v>
      </x:c>
      <x:c r="B33" s="11" t="n">
        <x:v>122.68</x:v>
      </x:c>
      <x:c r="C33" s="11" t="n">
        <x:v>408.93</x:v>
      </x:c>
      <x:c r="D33" s="13" t="n">
        <x:f>ROUND(C33-B33,2)</x:f>
        <x:v>286.25</x:v>
      </x:c>
    </x:row>
    <x:row r="34" ht="46" customHeight="1">
      <x:c r="A34" s="14" t="str">
        <x:v>6912 STATE RTE 163, MILLSTADT, IL 62260</x:v>
      </x:c>
      <x:c r="B34" s="15" t="n">
        <x:v>172.92</x:v>
      </x:c>
      <x:c r="C34" s="15" t="n">
        <x:v>576.41</x:v>
      </x:c>
      <x:c r="D34" s="13" t="n">
        <x:f>ROUND(C34-B34,2)</x:f>
        <x:v>403.49</x:v>
      </x:c>
    </x:row>
    <x:row r="35" ht="46" customHeight="1">
      <x:c r="A35" s="9" t="str">
        <x:v>6916 STATE RTE 163, MILLSTADT, IL 62260</x:v>
      </x:c>
      <x:c r="B35" s="11" t="n">
        <x:v>95.63</x:v>
      </x:c>
      <x:c r="C35" s="11" t="n">
        <x:v>318.77</x:v>
      </x:c>
      <x:c r="D35" s="13" t="n">
        <x:f>ROUND(C35-B35,2)</x:f>
        <x:v>223.14</x:v>
      </x:c>
    </x:row>
    <x:row r="36" ht="46" customHeight="1">
      <x:c r="A36" s="14" t="str">
        <x:v>6920 STATE RTE 163, MILLSTADT, IL 62260</x:v>
      </x:c>
      <x:c r="B36" s="15" t="n">
        <x:v>111.55</x:v>
      </x:c>
      <x:c r="C36" s="15" t="n">
        <x:v>371.82</x:v>
      </x:c>
      <x:c r="D36" s="13" t="n">
        <x:f>ROUND(C36-B36,2)</x:f>
        <x:v>260.27</x:v>
      </x:c>
    </x:row>
    <x:row r="37" ht="46" customHeight="1">
      <x:c r="A37" s="9" t="str">
        <x:v>6934 STATE RTE 163, MILLSTADT, IL 62260</x:v>
      </x:c>
      <x:c r="B37" s="11" t="n">
        <x:v>90.13</x:v>
      </x:c>
      <x:c r="C37" s="11" t="n">
        <x:v>300.44</x:v>
      </x:c>
      <x:c r="D37" s="13" t="n">
        <x:f>ROUND(C37-B37,2)</x:f>
        <x:v>210.31</x:v>
      </x:c>
    </x:row>
    <x:row r="38" ht="46" customHeight="1">
      <x:c r="A38" s="14" t="str">
        <x:v>6946 STATE RTE 163, MILLSTADT, IL 62260</x:v>
      </x:c>
      <x:c r="B38" s="15" t="n">
        <x:v>150.32</x:v>
      </x:c>
      <x:c r="C38" s="15" t="n">
        <x:v>501.08</x:v>
      </x:c>
      <x:c r="D38" s="13" t="n">
        <x:f>ROUND(C38-B38,2)</x:f>
        <x:v>350.76</x:v>
      </x:c>
    </x:row>
    <x:row r="39" ht="46" customHeight="1">
      <x:c r="A39" s="9" t="str">
        <x:v>6952 STATE RTE 163, MILLSTADT, IL 62260</x:v>
      </x:c>
      <x:c r="B39" s="11" t="n">
        <x:v>61.72</x:v>
      </x:c>
      <x:c r="C39" s="11" t="n">
        <x:v>205.73</x:v>
      </x:c>
      <x:c r="D39" s="13" t="n">
        <x:f>ROUND(C39-B39,2)</x:f>
        <x:v>144.01</x:v>
      </x:c>
    </x:row>
    <x:row r="40" ht="46" customHeight="1">
      <x:c r="A40" s="14" t="str">
        <x:v>7008 STATE RTE 163, MILLSTADT, IL 62260</x:v>
      </x:c>
      <x:c r="B40" s="15" t="n">
        <x:v>78.46</x:v>
      </x:c>
      <x:c r="C40" s="15" t="n">
        <x:v>261.55</x:v>
      </x:c>
      <x:c r="D40" s="13" t="n">
        <x:f>ROUND(C40-B40,2)</x:f>
        <x:v>183.09</x:v>
      </x:c>
    </x:row>
    <x:row r="41" ht="46" customHeight="1">
      <x:c r="A41" s="9" t="str">
        <x:v>3905 VOGEL SCHOOL RD, WATERLOO, IL 62298</x:v>
      </x:c>
      <x:c r="B41" s="11" t="n">
        <x:v>8.68</x:v>
      </x:c>
      <x:c r="C41" s="11" t="n">
        <x:v>28.92</x:v>
      </x:c>
      <x:c r="D41" s="13" t="n">
        <x:f>ROUND(C41-B41,2)</x:f>
        <x:v>20.24</x:v>
      </x:c>
    </x:row>
    <x:row r="42" ht="46" customHeight="1">
      <x:c r="A42" s="14" t="str">
        <x:v>3906 VOGEL SCHOOL RD, WATERLOO, IL 62298</x:v>
      </x:c>
      <x:c r="B42" s="15" t="n">
        <x:v>80.12</x:v>
      </x:c>
      <x:c r="C42" s="15" t="n">
        <x:v>267.06</x:v>
      </x:c>
      <x:c r="D42" s="13" t="n">
        <x:f>ROUND(C42-B42,2)</x:f>
        <x:v>186.94</x:v>
      </x:c>
    </x:row>
    <x:row r="43" ht="46" customHeight="1">
      <x:c r="A43" s="9" t="str">
        <x:v>3923 VOGEL SCHOOL RD, WATERLOO, IL 62298</x:v>
      </x:c>
      <x:c r="B43" s="11" t="n">
        <x:v>91.34</x:v>
      </x:c>
      <x:c r="C43" s="11" t="n">
        <x:v>304.47</x:v>
      </x:c>
      <x:c r="D43" s="13" t="n">
        <x:f>ROUND(C43-B43,2)</x:f>
        <x:v>213.13</x:v>
      </x:c>
    </x:row>
  </x:sheetData>
  <x:sheetProtection algorithmName="SHA-512" hashValue="xZ93tRjcz4szbNLdOdosd+sB0weyhtNawD/qzcOIKuBcUE2ImCjQPnjb1b3BVADaWJXAvL7iyKsrRKinXU5E/A==" saltValue="YW92TD8EArXlwaEcO5tSUQ==" spinCount="100000" sheet="1" objects="1" scenarios="1"/>
  <x:pageMargins left="0.7" right="0.7" top="0.75" bottom="0.75" header="0.3" footer="0.3"/>
</x:worksheet>
</file>