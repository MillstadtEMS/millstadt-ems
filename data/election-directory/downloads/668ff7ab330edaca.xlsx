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d1dfed271e44474" /></Relationships>
</file>

<file path=xl/workbook.xml><?xml version="1.0" encoding="utf-8"?>
<x:workbook xmlns:x="http://schemas.openxmlformats.org/spreadsheetml/2006/main">
  <x:workbookProtection workbookAlgorithmName="SHA-512" workbookHashValue="yRziRlHw/LxoQbFH/PXVwAoy8OwMErPBTNU8wRjj+dxJAPgEpLVq7pwC+yKVnR1zjuQbYPxzXIojMaiB2odQrQ==" workbookSaltValue="EEUT+4x7cgEk1Dgl+BJJQQ==" workbookSpinCount="100000" lockStructure="1"/>
  <x:sheets>
    <x:sheet xmlns:r="http://schemas.openxmlformats.org/officeDocument/2006/relationships" name="Annual EMS taxes" sheetId="1" r:id="R73b6831cd960401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&quot;$&quot;#,##0.00"/>
  </x:numFmts>
  <x:fonts count="6">
    <x:font>
      <x:sz val="11"/>
      <x:name val="Carlito"/>
    </x:font>
    <x:font>
      <x:sz val="11"/>
      <x:color rgb="FF172A43"/>
      <x:name val="Arial"/>
    </x:font>
    <x:font>
      <x:b/>
      <x:sz val="15"/>
      <x:color rgb="FF0A1E3D"/>
      <x:name val="Arial"/>
    </x:font>
    <x:font>
      <x:sz val="10"/>
      <x:color rgb="FF52647B"/>
      <x:name val="Arial"/>
    </x:font>
    <x:font>
      <x:b/>
      <x:sz val="11"/>
      <x:color rgb="FFFFFFFF"/>
      <x:name val="Arial"/>
    </x:font>
    <x:font>
      <x:b/>
      <x:sz val="11"/>
      <x:color rgb="FF172A43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0A1E3D"/>
      </x:patternFill>
    </x:fill>
    <x:fill>
      <x:patternFill patternType="solid">
        <x:fgColor rgb="FFFFF2CE"/>
      </x:patternFill>
    </x:fill>
    <x:fill>
      <x:patternFill patternType="solid">
        <x:fgColor rgb="FFF2F5F9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6">
    <x:xf numFmtId="0" fontId="0" fillId="0" borderId="0" xfId="0" applyProtection="1">
      <x:protection locked="1" hidden="0"/>
    </x:xf>
    <x:xf numFmtId="0" fontId="1" fillId="0" borderId="0" xfId="0" applyNumberFormat="1" applyFont="1" applyFill="1" applyBorder="1" applyProtection="1">
      <x:protection locked="1" hidden="0"/>
    </x:xf>
    <x:xf numFmtId="0" fontId="1" fillId="0" borderId="0" xfId="0" applyNumberFormat="1" applyFont="1" applyFill="1" applyBorder="1" applyAlignment="1" applyProtection="1">
      <x:alignment vertical="center"/>
      <x:protection locked="1" hidden="0"/>
    </x:xf>
    <x:xf numFmtId="0" fontId="2" fillId="0" borderId="0" xfId="0" applyNumberFormat="1" applyFont="1" applyFill="1" applyBorder="1" applyAlignment="1" applyProtection="1">
      <x:alignment vertical="center"/>
      <x:protection locked="1" hidden="0"/>
    </x:xf>
    <x:xf numFmtId="0" fontId="2" fillId="0" borderId="0" xfId="0" applyNumberFormat="1" applyFont="1" applyFill="1" applyBorder="1" applyAlignment="1" applyProtection="1">
      <x:alignment vertical="center" wrapText="1"/>
      <x:protection locked="1" hidden="0"/>
    </x:xf>
    <x:xf numFmtId="0" fontId="3" fillId="0" borderId="0" xfId="0" applyNumberFormat="1" applyFont="1" applyFill="1" applyBorder="1" applyAlignment="1" applyProtection="1">
      <x:alignment vertical="center"/>
      <x:protection locked="1" hidden="0"/>
    </x:xf>
    <x:xf numFmtId="0" fontId="1" fillId="2" borderId="0" xfId="0" applyNumberFormat="1" applyFont="1" applyFill="1" applyBorder="1" applyAlignment="1" applyProtection="1">
      <x:alignment vertical="center"/>
      <x:protection locked="1" hidden="0"/>
    </x:xf>
    <x:xf numFmtId="0" fontId="4" fillId="2" borderId="0" xfId="0" applyNumberFormat="1" applyFont="1" applyFill="1" applyBorder="1" applyAlignment="1" applyProtection="1">
      <x:alignment vertical="center"/>
      <x:protection locked="1" hidden="0"/>
    </x:xf>
    <x:xf numFmtId="0" fontId="4" fillId="2" borderId="0" xfId="0" applyNumberFormat="1" applyFont="1" applyFill="1" applyBorder="1" applyAlignment="1" applyProtection="1">
      <x:alignment horizontal="center" vertical="center"/>
      <x:protection locked="1" hidden="0"/>
    </x:xf>
    <x:xf numFmtId="0" fontId="1" fillId="0" borderId="0" xfId="0" applyNumberFormat="1" applyFont="1" applyFill="1" applyBorder="1" applyAlignment="1" applyProtection="1">
      <x:alignment vertical="center" wrapText="1"/>
      <x:protection locked="1" hidden="0"/>
    </x:xf>
    <x:xf numFmtId="200" fontId="1" fillId="0" borderId="0" xfId="0" applyNumberFormat="1" applyFont="1" applyFill="1" applyBorder="1" applyAlignment="1" applyProtection="1">
      <x:alignment vertical="center"/>
      <x:protection locked="1" hidden="0"/>
    </x:xf>
    <x:xf numFmtId="200" fontId="1" fillId="0" borderId="0" xfId="0" applyNumberFormat="1" applyFont="1" applyFill="1" applyBorder="1" applyAlignment="1" applyProtection="1">
      <x:alignment horizontal="right" vertical="center"/>
      <x:protection locked="1" hidden="0"/>
    </x:xf>
    <x:xf numFmtId="200" fontId="1" fillId="3" borderId="0" xfId="0" applyNumberFormat="1" applyFont="1" applyFill="1" applyBorder="1" applyAlignment="1" applyProtection="1">
      <x:alignment horizontal="right" vertical="center"/>
      <x:protection locked="1" hidden="0"/>
    </x:xf>
    <x:xf numFmtId="200" fontId="5" fillId="3" borderId="0" xfId="0" applyNumberFormat="1" applyFont="1" applyFill="1" applyBorder="1" applyAlignment="1" applyProtection="1">
      <x:alignment horizontal="right" vertical="center"/>
      <x:protection locked="1" hidden="0"/>
    </x:xf>
    <x:xf numFmtId="0" fontId="1" fillId="4" borderId="0" xfId="0" applyNumberFormat="1" applyFont="1" applyFill="1" applyBorder="1" applyAlignment="1" applyProtection="1">
      <x:alignment vertical="center" wrapText="1"/>
      <x:protection locked="1" hidden="0"/>
    </x:xf>
    <x:xf numFmtId="200" fontId="1" fillId="4" borderId="0" xfId="0" applyNumberFormat="1" applyFont="1" applyFill="1" applyBorder="1" applyAlignment="1" applyProtection="1">
      <x:alignment horizontal="right" vertical="center"/>
      <x:protection locked="1" hidden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889a00a92c94658" /><Relationship Type="http://schemas.openxmlformats.org/officeDocument/2006/relationships/theme" Target="/xl/theme/theme1.xml" Id="R7a7430e0ac924ba8" /><Relationship Type="http://schemas.openxmlformats.org/officeDocument/2006/relationships/sharedStrings" Target="/xl/sharedStrings.xml" Id="Rf67549034d4b4b31" /><Relationship Type="http://schemas.openxmlformats.org/officeDocument/2006/relationships/worksheet" Target="/xl/worksheets/sheet1.xml" Id="R73b6831cd960401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0A1E3D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57.779998779296875" hidden="0" customWidth="1"/>
    <x:col min="2" max="2" width="21.110000610351562" hidden="0" customWidth="1"/>
    <x:col min="3" max="3" width="21.110000610351562" hidden="0" customWidth="1"/>
    <x:col min="4" max="4" width="21.110000610351562" hidden="0" customWidth="1"/>
  </x:cols>
  <x:sheetData>
    <x:row r="1" ht="32" customHeight="1">
      <x:c r="A1" s="2"/>
      <x:c r="B1" s="2"/>
      <x:c r="C1" s="2"/>
      <x:c r="D1" s="2"/>
    </x:row>
    <x:row r="2" ht="30" customHeight="1">
      <x:c r="A2" s="4" t="str">
        <x:v>MILLSTADT TWP SEC 13</x:v>
      </x:c>
      <x:c r="B2" s="2"/>
      <x:c r="C2" s="2"/>
      <x:c r="D2" s="2"/>
    </x:row>
    <x:row r="3" ht="32" customHeight="1">
      <x:c r="A3" s="5" t="str">
        <x:v>Millstadt EMS · Annual estimates using county 2025 taxable values</x:v>
      </x:c>
      <x:c r="B3" s="2"/>
      <x:c r="C3" s="2"/>
      <x:c r="D3" s="2"/>
    </x:row>
    <x:row r="4" ht="32" customHeight="1">
      <x:c r="A4" s="5" t="str">
        <x:v>Planned ESD rate: 0.30%. Baseline uses the existing ambulance levy offset.</x:v>
      </x:c>
      <x:c r="B4" s="2"/>
      <x:c r="C4" s="2"/>
      <x:c r="D4" s="2"/>
    </x:row>
    <x:row r="5" ht="32" customHeight="1">
      <x:c r="A5" s="2"/>
      <x:c r="B5" s="2"/>
      <x:c r="C5" s="2"/>
      <x:c r="D5" s="2"/>
    </x:row>
    <x:row r="6" ht="34" customHeight="1">
      <x:c r="A6" s="8" t="str">
        <x:v>Address</x:v>
      </x:c>
      <x:c r="B6" s="8" t="str">
        <x:v>Baseline EMS tax</x:v>
      </x:c>
      <x:c r="C6" s="8" t="str">
        <x:v>EMS tax at 0.30%</x:v>
      </x:c>
      <x:c r="D6" s="8" t="str">
        <x:v>Annual increase</x:v>
      </x:c>
    </x:row>
    <x:row r="7" ht="46" customHeight="1">
      <x:c r="A7" s="9" t="str">
        <x:v>4200 BUSS BRANCH RD, WATERLOO, IL 62298</x:v>
      </x:c>
      <x:c r="B7" s="11" t="n">
        <x:v>0</x:v>
      </x:c>
      <x:c r="C7" s="11" t="n">
        <x:v>212.33</x:v>
      </x:c>
      <x:c r="D7" s="13" t="n">
        <x:f>ROUND(C7-B7,2)</x:f>
        <x:v>212.33</x:v>
      </x:c>
    </x:row>
    <x:row r="8" ht="46" customHeight="1">
      <x:c r="A8" s="14" t="str">
        <x:v>4424 BUSS BRANCH RD, WATERLOO, IL 62298</x:v>
      </x:c>
      <x:c r="B8" s="15" t="n">
        <x:v>0</x:v>
      </x:c>
      <x:c r="C8" s="15" t="n">
        <x:v>134.75</x:v>
      </x:c>
      <x:c r="D8" s="13" t="n">
        <x:f>ROUND(C8-B8,2)</x:f>
        <x:v>134.75</x:v>
      </x:c>
    </x:row>
    <x:row r="9" ht="46" customHeight="1">
      <x:c r="A9" s="9" t="str">
        <x:v>4446 BUSS BRANCH RD, WATERLOO, IL 62298</x:v>
      </x:c>
      <x:c r="B9" s="11" t="n">
        <x:v>0</x:v>
      </x:c>
      <x:c r="C9" s="11" t="n">
        <x:v>0</x:v>
      </x:c>
      <x:c r="D9" s="13" t="n">
        <x:f>ROUND(C9-B9,2)</x:f>
        <x:v>0</x:v>
      </x:c>
    </x:row>
    <x:row r="10" ht="46" customHeight="1">
      <x:c r="A10" s="14" t="str">
        <x:v>4532 BUSS BRANCH RD, WATERLOO, IL 62298
Parcel 16-13.0-300-019</x:v>
      </x:c>
      <x:c r="B10" s="15" t="n">
        <x:v>0</x:v>
      </x:c>
      <x:c r="C10" s="15" t="n">
        <x:v>504.75</x:v>
      </x:c>
      <x:c r="D10" s="13" t="n">
        <x:f>ROUND(C10-B10,2)</x:f>
        <x:v>504.75</x:v>
      </x:c>
    </x:row>
    <x:row r="11" ht="46" customHeight="1">
      <x:c r="A11" s="9" t="str">
        <x:v>4532 BUSS BRANCH RD, WATERLOO, IL 62298
Parcel 16-13.0-300-020</x:v>
      </x:c>
      <x:c r="B11" s="11" t="n">
        <x:v>0</x:v>
      </x:c>
      <x:c r="C11" s="11" t="n">
        <x:v>61.97</x:v>
      </x:c>
      <x:c r="D11" s="13" t="n">
        <x:f>ROUND(C11-B11,2)</x:f>
        <x:v>61.97</x:v>
      </x:c>
    </x:row>
    <x:row r="12" ht="46" customHeight="1">
      <x:c r="A12" s="14" t="str">
        <x:v>4538 BUSS BRANCH RD, WATERLOO, IL 62298</x:v>
      </x:c>
      <x:c r="B12" s="15" t="n">
        <x:v>0</x:v>
      </x:c>
      <x:c r="C12" s="15" t="n">
        <x:v>241.22</x:v>
      </x:c>
      <x:c r="D12" s="13" t="n">
        <x:f>ROUND(C12-B12,2)</x:f>
        <x:v>241.22</x:v>
      </x:c>
    </x:row>
    <x:row r="13" ht="46" customHeight="1">
      <x:c r="A13" s="9" t="str">
        <x:v>4548 BUSS BRANCH RD, WATERLOO, IL 62298</x:v>
      </x:c>
      <x:c r="B13" s="11" t="n">
        <x:v>0</x:v>
      </x:c>
      <x:c r="C13" s="11" t="n">
        <x:v>245.59</x:v>
      </x:c>
      <x:c r="D13" s="13" t="n">
        <x:f>ROUND(C13-B13,2)</x:f>
        <x:v>245.59</x:v>
      </x:c>
    </x:row>
    <x:row r="14" ht="46" customHeight="1">
      <x:c r="A14" s="14" t="str">
        <x:v>4551 BUSS BRANCH RD, WATERLOO, IL 62298</x:v>
      </x:c>
      <x:c r="B14" s="15" t="n">
        <x:v>0</x:v>
      </x:c>
      <x:c r="C14" s="15" t="n">
        <x:v>90.8</x:v>
      </x:c>
      <x:c r="D14" s="13" t="n">
        <x:f>ROUND(C14-B14,2)</x:f>
        <x:v>90.8</x:v>
      </x:c>
    </x:row>
    <x:row r="15" ht="46" customHeight="1">
      <x:c r="A15" s="9" t="str">
        <x:v>4552 BUSS BRANCH RD, WATERLOO, IL 62298</x:v>
      </x:c>
      <x:c r="B15" s="11" t="n">
        <x:v>0</x:v>
      </x:c>
      <x:c r="C15" s="11" t="n">
        <x:v>251.46</x:v>
      </x:c>
      <x:c r="D15" s="13" t="n">
        <x:f>ROUND(C15-B15,2)</x:f>
        <x:v>251.46</x:v>
      </x:c>
    </x:row>
    <x:row r="16" ht="46" customHeight="1">
      <x:c r="A16" s="14" t="str">
        <x:v>4556 BUSS BRANCH RD, WATERLOO, IL 62298</x:v>
      </x:c>
      <x:c r="B16" s="15" t="n">
        <x:v>0</x:v>
      </x:c>
      <x:c r="C16" s="15" t="n">
        <x:v>61.21</x:v>
      </x:c>
      <x:c r="D16" s="13" t="n">
        <x:f>ROUND(C16-B16,2)</x:f>
        <x:v>61.21</x:v>
      </x:c>
    </x:row>
    <x:row r="17" ht="46" customHeight="1">
      <x:c r="A17" s="9" t="str">
        <x:v>4560 BUSS BRANCH RD, WATERLOO, IL 62298</x:v>
      </x:c>
      <x:c r="B17" s="11" t="n">
        <x:v>0</x:v>
      </x:c>
      <x:c r="C17" s="11" t="n">
        <x:v>149.64</x:v>
      </x:c>
      <x:c r="D17" s="13" t="n">
        <x:f>ROUND(C17-B17,2)</x:f>
        <x:v>149.64</x:v>
      </x:c>
    </x:row>
    <x:row r="18" ht="46" customHeight="1">
      <x:c r="A18" s="14" t="str">
        <x:v>4569 BUSS BRANCH RD, WATERLOO, IL 62298</x:v>
      </x:c>
      <x:c r="B18" s="15" t="n">
        <x:v>0</x:v>
      </x:c>
      <x:c r="C18" s="15" t="n">
        <x:v>429.45</x:v>
      </x:c>
      <x:c r="D18" s="13" t="n">
        <x:f>ROUND(C18-B18,2)</x:f>
        <x:v>429.45</x:v>
      </x:c>
    </x:row>
    <x:row r="19" ht="46" customHeight="1">
      <x:c r="A19" s="9" t="str">
        <x:v>4576 BUSS BRANCH RD, WATERLOO, IL 62298
Parcel 16-13.0-200-011</x:v>
      </x:c>
      <x:c r="B19" s="11" t="n">
        <x:v>0</x:v>
      </x:c>
      <x:c r="C19" s="11" t="n">
        <x:v>0</x:v>
      </x:c>
      <x:c r="D19" s="13" t="n">
        <x:f>ROUND(C19-B19,2)</x:f>
        <x:v>0</x:v>
      </x:c>
    </x:row>
    <x:row r="20" ht="46" customHeight="1">
      <x:c r="A20" s="14" t="str">
        <x:v>3710 FLORAVILLE RD, WATERLOO, IL 62298</x:v>
      </x:c>
      <x:c r="B20" s="15" t="n">
        <x:v>0</x:v>
      </x:c>
      <x:c r="C20" s="15" t="n">
        <x:v>259.49</x:v>
      </x:c>
      <x:c r="D20" s="13" t="n">
        <x:f>ROUND(C20-B20,2)</x:f>
        <x:v>259.49</x:v>
      </x:c>
    </x:row>
    <x:row r="21" ht="46" customHeight="1">
      <x:c r="A21" s="9" t="str">
        <x:v>3717 FLORAVILLE RD, WATERLOO, IL 62298</x:v>
      </x:c>
      <x:c r="B21" s="11" t="n">
        <x:v>0</x:v>
      </x:c>
      <x:c r="C21" s="11" t="n">
        <x:v>127.68</x:v>
      </x:c>
      <x:c r="D21" s="13" t="n">
        <x:f>ROUND(C21-B21,2)</x:f>
        <x:v>127.68</x:v>
      </x:c>
    </x:row>
    <x:row r="22" ht="46" customHeight="1">
      <x:c r="A22" s="14" t="str">
        <x:v>3729 FLORAVILLE RD, WATERLOO, IL 62298</x:v>
      </x:c>
      <x:c r="B22" s="15" t="n">
        <x:v>0</x:v>
      </x:c>
      <x:c r="C22" s="15" t="n">
        <x:v>228.18</x:v>
      </x:c>
      <x:c r="D22" s="13" t="n">
        <x:f>ROUND(C22-B22,2)</x:f>
        <x:v>228.18</x:v>
      </x:c>
    </x:row>
    <x:row r="23" ht="46" customHeight="1">
      <x:c r="A23" s="9" t="str">
        <x:v>3740 FLORAVILLE RD, WATERLOO, IL 62298</x:v>
      </x:c>
      <x:c r="B23" s="11" t="n">
        <x:v>0</x:v>
      </x:c>
      <x:c r="C23" s="11" t="n">
        <x:v>403.26</x:v>
      </x:c>
      <x:c r="D23" s="13" t="n">
        <x:f>ROUND(C23-B23,2)</x:f>
        <x:v>403.26</x:v>
      </x:c>
    </x:row>
    <x:row r="24" ht="46" customHeight="1">
      <x:c r="A24" s="14" t="str">
        <x:v>3741 FLORAVILLE RD, WATERLOO, IL 62298</x:v>
      </x:c>
      <x:c r="B24" s="15" t="n">
        <x:v>0</x:v>
      </x:c>
      <x:c r="C24" s="15" t="n">
        <x:v>173.95</x:v>
      </x:c>
      <x:c r="D24" s="13" t="n">
        <x:f>ROUND(C24-B24,2)</x:f>
        <x:v>173.95</x:v>
      </x:c>
    </x:row>
    <x:row r="25" ht="46" customHeight="1">
      <x:c r="A25" s="9" t="str">
        <x:v>3924 FLORAVILLE RD, WATERLOO, IL 62298</x:v>
      </x:c>
      <x:c r="B25" s="11" t="n">
        <x:v>0</x:v>
      </x:c>
      <x:c r="C25" s="11" t="n">
        <x:v>205.55</x:v>
      </x:c>
      <x:c r="D25" s="13" t="n">
        <x:f>ROUND(C25-B25,2)</x:f>
        <x:v>205.55</x:v>
      </x:c>
    </x:row>
    <x:row r="26" ht="46" customHeight="1">
      <x:c r="A26" s="14" t="str">
        <x:v>3955 FLORAVILLE RD, WATERLOO, IL 62298
Parcel 16-13.0-100-011</x:v>
      </x:c>
      <x:c r="B26" s="15" t="n">
        <x:v>0</x:v>
      </x:c>
      <x:c r="C26" s="15" t="n">
        <x:v>2.6</x:v>
      </x:c>
      <x:c r="D26" s="13" t="n">
        <x:f>ROUND(C26-B26,2)</x:f>
        <x:v>2.6</x:v>
      </x:c>
    </x:row>
    <x:row r="27" ht="46" customHeight="1">
      <x:c r="A27" s="9" t="str">
        <x:v>3955 FLORAVILLE RD, WATERLOO, IL 62298
Parcel 16-13.0-100-013</x:v>
      </x:c>
      <x:c r="B27" s="11" t="n">
        <x:v>0</x:v>
      </x:c>
      <x:c r="C27" s="11" t="n">
        <x:v>385.61</x:v>
      </x:c>
      <x:c r="D27" s="13" t="n">
        <x:f>ROUND(C27-B27,2)</x:f>
        <x:v>385.61</x:v>
      </x:c>
    </x:row>
    <x:row r="28" ht="46" customHeight="1">
      <x:c r="A28" s="14" t="str">
        <x:v>4136 FLORAVILLE RD, WATERLOO, IL 62298
Parcel 16-13.0-100-007</x:v>
      </x:c>
      <x:c r="B28" s="15" t="n">
        <x:v>0</x:v>
      </x:c>
      <x:c r="C28" s="15" t="n">
        <x:v>4.86</x:v>
      </x:c>
      <x:c r="D28" s="13" t="n">
        <x:f>ROUND(C28-B28,2)</x:f>
        <x:v>4.86</x:v>
      </x:c>
    </x:row>
    <x:row r="29" ht="46" customHeight="1">
      <x:c r="A29" s="9" t="str">
        <x:v>6306 KASKASKIA LN, MILLSTADT, IL 62260</x:v>
      </x:c>
      <x:c r="B29" s="11" t="n">
        <x:v>98.93</x:v>
      </x:c>
      <x:c r="C29" s="11" t="n">
        <x:v>329.77</x:v>
      </x:c>
      <x:c r="D29" s="13" t="n">
        <x:f>ROUND(C29-B29,2)</x:f>
        <x:v>230.84</x:v>
      </x:c>
    </x:row>
    <x:row r="30" ht="46" customHeight="1">
      <x:c r="A30" s="14" t="str">
        <x:v>6230 KASKASKIA RD, MILLSTADT, IL 62260</x:v>
      </x:c>
      <x:c r="B30" s="15" t="n">
        <x:v>18.44</x:v>
      </x:c>
      <x:c r="C30" s="15" t="n">
        <x:v>61.46</x:v>
      </x:c>
      <x:c r="D30" s="13" t="n">
        <x:f>ROUND(C30-B30,2)</x:f>
        <x:v>43.02</x:v>
      </x:c>
    </x:row>
    <x:row r="31" ht="46" customHeight="1">
      <x:c r="A31" s="9" t="str">
        <x:v>4636 MUETH RD, WATERLOO, IL 62298</x:v>
      </x:c>
      <x:c r="B31" s="11" t="n">
        <x:v>0</x:v>
      </x:c>
      <x:c r="C31" s="11" t="n">
        <x:v>240.82</x:v>
      </x:c>
      <x:c r="D31" s="13" t="n">
        <x:f>ROUND(C31-B31,2)</x:f>
        <x:v>240.82</x:v>
      </x:c>
    </x:row>
    <x:row r="32" ht="46" customHeight="1">
      <x:c r="A32" s="14" t="str">
        <x:v>4764 MUETH RD, WATERLOO, IL 62298</x:v>
      </x:c>
      <x:c r="B32" s="15" t="n">
        <x:v>0</x:v>
      </x:c>
      <x:c r="C32" s="15" t="n">
        <x:v>227.29</x:v>
      </x:c>
      <x:c r="D32" s="13" t="n">
        <x:f>ROUND(C32-B32,2)</x:f>
        <x:v>227.29</x:v>
      </x:c>
    </x:row>
    <x:row r="33" ht="46" customHeight="1">
      <x:c r="A33" s="9" t="str">
        <x:v>4717 ORLET RD, WATERLOO, IL 62298
Parcel 16-13.0-400-027</x:v>
      </x:c>
      <x:c r="B33" s="11" t="n">
        <x:v>0</x:v>
      </x:c>
      <x:c r="C33" s="11" t="n">
        <x:v>42.51</x:v>
      </x:c>
      <x:c r="D33" s="13" t="n">
        <x:f>ROUND(C33-B33,2)</x:f>
        <x:v>42.51</x:v>
      </x:c>
    </x:row>
    <x:row r="34" ht="46" customHeight="1">
      <x:c r="A34" s="14" t="str">
        <x:v>4717 ORLET RD, WATERLOO, IL 62298
Parcel 16-13.0-400-028</x:v>
      </x:c>
      <x:c r="B34" s="15" t="n">
        <x:v>0</x:v>
      </x:c>
      <x:c r="C34" s="15" t="n">
        <x:v>197.15</x:v>
      </x:c>
      <x:c r="D34" s="13" t="n">
        <x:f>ROUND(C34-B34,2)</x:f>
        <x:v>197.15</x:v>
      </x:c>
    </x:row>
    <x:row r="35" ht="46" customHeight="1">
      <x:c r="A35" s="9" t="str">
        <x:v>4753 ORLET RD, WATERLOO, IL 62298</x:v>
      </x:c>
      <x:c r="B35" s="11" t="n">
        <x:v>0</x:v>
      </x:c>
      <x:c r="C35" s="11" t="n">
        <x:v>204.71</x:v>
      </x:c>
      <x:c r="D35" s="13" t="n">
        <x:f>ROUND(C35-B35,2)</x:f>
        <x:v>204.71</x:v>
      </x:c>
    </x:row>
    <x:row r="36" ht="46" customHeight="1">
      <x:c r="A36" s="14" t="str">
        <x:v>6016 ROACHTOWN RD, MILLSTADT, IL 62260</x:v>
      </x:c>
      <x:c r="B36" s="15" t="n">
        <x:v>72.78</x:v>
      </x:c>
      <x:c r="C36" s="15" t="n">
        <x:v>242.6</x:v>
      </x:c>
      <x:c r="D36" s="13" t="n">
        <x:f>ROUND(C36-B36,2)</x:f>
        <x:v>169.82</x:v>
      </x:c>
    </x:row>
    <x:row r="37" ht="46" customHeight="1">
      <x:c r="A37" s="9" t="str">
        <x:v>6033 ROACHTOWN RD, MILLSTADT, IL 62260</x:v>
      </x:c>
      <x:c r="B37" s="11" t="n">
        <x:v>59.16</x:v>
      </x:c>
      <x:c r="C37" s="11" t="n">
        <x:v>197.19</x:v>
      </x:c>
      <x:c r="D37" s="13" t="n">
        <x:f>ROUND(C37-B37,2)</x:f>
        <x:v>138.03</x:v>
      </x:c>
    </x:row>
    <x:row r="38" ht="46" customHeight="1">
      <x:c r="A38" s="14" t="str">
        <x:v>6051 ROACHTOWN RD, MILLSTADT, IL 62260</x:v>
      </x:c>
      <x:c r="B38" s="15" t="n">
        <x:v>64.07</x:v>
      </x:c>
      <x:c r="C38" s="15" t="n">
        <x:v>213.57</x:v>
      </x:c>
      <x:c r="D38" s="13" t="n">
        <x:f>ROUND(C38-B38,2)</x:f>
        <x:v>149.5</x:v>
      </x:c>
    </x:row>
    <x:row r="39" ht="46" customHeight="1">
      <x:c r="A39" s="9" t="str">
        <x:v>6107 ROACHTOWN RD, MILLSTADT, IL 62260</x:v>
      </x:c>
      <x:c r="B39" s="11" t="n">
        <x:v>81.76</x:v>
      </x:c>
      <x:c r="C39" s="11" t="n">
        <x:v>272.53</x:v>
      </x:c>
      <x:c r="D39" s="13" t="n">
        <x:f>ROUND(C39-B39,2)</x:f>
        <x:v>190.77</x:v>
      </x:c>
    </x:row>
    <x:row r="40" ht="46" customHeight="1">
      <x:c r="A40" s="14" t="str">
        <x:v>6131 ROACHTOWN RD, MILLSTADT, IL 62260</x:v>
      </x:c>
      <x:c r="B40" s="15" t="n">
        <x:v>45.39</x:v>
      </x:c>
      <x:c r="C40" s="15" t="n">
        <x:v>151.31</x:v>
      </x:c>
      <x:c r="D40" s="13" t="n">
        <x:f>ROUND(C40-B40,2)</x:f>
        <x:v>105.92</x:v>
      </x:c>
    </x:row>
    <x:row r="41" ht="46" customHeight="1">
      <x:c r="A41" s="9" t="str">
        <x:v>6143 ROACHTOWN RD, MILLSTADT, IL 62260</x:v>
      </x:c>
      <x:c r="B41" s="11" t="n">
        <x:v>11.32</x:v>
      </x:c>
      <x:c r="C41" s="11" t="n">
        <x:v>37.74</x:v>
      </x:c>
      <x:c r="D41" s="13" t="n">
        <x:f>ROUND(C41-B41,2)</x:f>
        <x:v>26.42</x:v>
      </x:c>
    </x:row>
    <x:row r="42" ht="46" customHeight="1">
      <x:c r="A42" s="14" t="str">
        <x:v>6212 ROACHTOWN RD, MILLSTADT, IL 62260</x:v>
      </x:c>
      <x:c r="B42" s="15" t="n">
        <x:v>204.85</x:v>
      </x:c>
      <x:c r="C42" s="15" t="n">
        <x:v>682.84</x:v>
      </x:c>
      <x:c r="D42" s="13" t="n">
        <x:f>ROUND(C42-B42,2)</x:f>
        <x:v>477.99</x:v>
      </x:c>
    </x:row>
    <x:row r="43" ht="46" customHeight="1">
      <x:c r="A43" s="9" t="str">
        <x:v>6260 ROACHTOWN RD, MILLSTADT, IL 62260</x:v>
      </x:c>
      <x:c r="B43" s="11" t="n">
        <x:v>68.95</x:v>
      </x:c>
      <x:c r="C43" s="11" t="n">
        <x:v>229.85</x:v>
      </x:c>
      <x:c r="D43" s="13" t="n">
        <x:f>ROUND(C43-B43,2)</x:f>
        <x:v>160.9</x:v>
      </x:c>
    </x:row>
    <x:row r="44" ht="46" customHeight="1">
      <x:c r="A44" s="14" t="str">
        <x:v>6264 ROACHTOWN RD, MILLSTADT, IL 62260</x:v>
      </x:c>
      <x:c r="B44" s="15" t="n">
        <x:v>77.39</x:v>
      </x:c>
      <x:c r="C44" s="15" t="n">
        <x:v>257.96</x:v>
      </x:c>
      <x:c r="D44" s="13" t="n">
        <x:f>ROUND(C44-B44,2)</x:f>
        <x:v>180.57</x:v>
      </x:c>
    </x:row>
    <x:row r="45" ht="46" customHeight="1">
      <x:c r="A45" s="9" t="str">
        <x:v>6353 ROACHTOWN RD, MILLSTADT, IL 62260</x:v>
      </x:c>
      <x:c r="B45" s="11" t="n">
        <x:v>62.16</x:v>
      </x:c>
      <x:c r="C45" s="11" t="n">
        <x:v>207.2</x:v>
      </x:c>
      <x:c r="D45" s="13" t="n">
        <x:f>ROUND(C45-B45,2)</x:f>
        <x:v>145.04</x:v>
      </x:c>
    </x:row>
    <x:row r="46" ht="46" customHeight="1">
      <x:c r="A46" s="14" t="str">
        <x:v>4757 SCHMIDT LN, MILLSTADT, IL 62260</x:v>
      </x:c>
      <x:c r="B46" s="15" t="n">
        <x:v>91.22</x:v>
      </x:c>
      <x:c r="C46" s="15" t="n">
        <x:v>304.07</x:v>
      </x:c>
      <x:c r="D46" s="13" t="n">
        <x:f>ROUND(C46-B46,2)</x:f>
        <x:v>212.85</x:v>
      </x:c>
    </x:row>
    <x:row r="47" ht="46" customHeight="1">
      <x:c r="A47" s="9" t="str">
        <x:v>4760 SCHMIDT LN, MILLSTADT, IL 62260</x:v>
      </x:c>
      <x:c r="B47" s="11" t="n">
        <x:v>41.52</x:v>
      </x:c>
      <x:c r="C47" s="11" t="n">
        <x:v>138.41</x:v>
      </x:c>
      <x:c r="D47" s="13" t="n">
        <x:f>ROUND(C47-B47,2)</x:f>
        <x:v>96.89</x:v>
      </x:c>
    </x:row>
    <x:row r="48" ht="46" customHeight="1">
      <x:c r="A48" s="14" t="str">
        <x:v>4765 SCHMIDT LN, MILLSTADT, IL 62260</x:v>
      </x:c>
      <x:c r="B48" s="15" t="n">
        <x:v>1.16</x:v>
      </x:c>
      <x:c r="C48" s="15" t="n">
        <x:v>3.86</x:v>
      </x:c>
      <x:c r="D48" s="13" t="n">
        <x:f>ROUND(C48-B48,2)</x:f>
        <x:v>2.7</x:v>
      </x:c>
    </x:row>
    <x:row r="49" ht="46" customHeight="1">
      <x:c r="A49" s="9" t="str">
        <x:v>4709 SCHMIDT RD, MILLSTADT, IL 62260</x:v>
      </x:c>
      <x:c r="B49" s="11" t="n">
        <x:v>57.46</x:v>
      </x:c>
      <x:c r="C49" s="11" t="n">
        <x:v>191.54</x:v>
      </x:c>
      <x:c r="D49" s="13" t="n">
        <x:f>ROUND(C49-B49,2)</x:f>
        <x:v>134.08</x:v>
      </x:c>
    </x:row>
    <x:row r="50" ht="46" customHeight="1">
      <x:c r="A50" s="14" t="str">
        <x:v>4741 SCHMIDT RD, MILLSTADT, IL 62260</x:v>
      </x:c>
      <x:c r="B50" s="15" t="n">
        <x:v>48.85</x:v>
      </x:c>
      <x:c r="C50" s="15" t="n">
        <x:v>162.83</x:v>
      </x:c>
      <x:c r="D50" s="13" t="n">
        <x:f>ROUND(C50-B50,2)</x:f>
        <x:v>113.98</x:v>
      </x:c>
    </x:row>
    <x:row r="51" ht="46" customHeight="1">
      <x:c r="A51" s="9" t="str">
        <x:v>4344 URBANA RD, MILLSTADT, IL 62260
Parcel 12-13.0-300-012</x:v>
      </x:c>
      <x:c r="B51" s="11" t="n">
        <x:v>1.64</x:v>
      </x:c>
      <x:c r="C51" s="11" t="n">
        <x:v>5.45</x:v>
      </x:c>
      <x:c r="D51" s="13" t="n">
        <x:f>ROUND(C51-B51,2)</x:f>
        <x:v>3.81</x:v>
      </x:c>
    </x:row>
    <x:row r="52" ht="46" customHeight="1">
      <x:c r="A52" s="14" t="str">
        <x:v>4434 URBANA RD, MILLSTADT, IL 62260
Parcel 12-13.0-300-013</x:v>
      </x:c>
      <x:c r="B52" s="15" t="n">
        <x:v>94.98</x:v>
      </x:c>
      <x:c r="C52" s="15" t="n">
        <x:v>316.61</x:v>
      </x:c>
      <x:c r="D52" s="13" t="n">
        <x:f>ROUND(C52-B52,2)</x:f>
        <x:v>221.63</x:v>
      </x:c>
    </x:row>
    <x:row r="53" ht="46" customHeight="1">
      <x:c r="A53" s="9" t="str">
        <x:v>4501 URBANA RD, MILLSTADT, IL 62260</x:v>
      </x:c>
      <x:c r="B53" s="11" t="n">
        <x:v>104.31</x:v>
      </x:c>
      <x:c r="C53" s="11" t="n">
        <x:v>347.7</x:v>
      </x:c>
      <x:c r="D53" s="13" t="n">
        <x:f>ROUND(C53-B53,2)</x:f>
        <x:v>243.39</x:v>
      </x:c>
    </x:row>
    <x:row r="54" ht="46" customHeight="1">
      <x:c r="A54" s="14" t="str">
        <x:v>4590 URBANA RD, MILLSTADT, IL 62260</x:v>
      </x:c>
      <x:c r="B54" s="15" t="n">
        <x:v>92.16</x:v>
      </x:c>
      <x:c r="C54" s="15" t="n">
        <x:v>307.2</x:v>
      </x:c>
      <x:c r="D54" s="13" t="n">
        <x:f>ROUND(C54-B54,2)</x:f>
        <x:v>215.04</x:v>
      </x:c>
    </x:row>
    <x:row r="55" ht="46" customHeight="1">
      <x:c r="A55" s="9" t="str">
        <x:v>4634 URBANA RD, MILLSTADT, IL 62260</x:v>
      </x:c>
      <x:c r="B55" s="11" t="n">
        <x:v>122.68</x:v>
      </x:c>
      <x:c r="C55" s="11" t="n">
        <x:v>408.94</x:v>
      </x:c>
      <x:c r="D55" s="13" t="n">
        <x:f>ROUND(C55-B55,2)</x:f>
        <x:v>286.26</x:v>
      </x:c>
    </x:row>
    <x:row r="56" ht="46" customHeight="1">
      <x:c r="A56" s="14" t="str">
        <x:v>4640 URBANA RD, MILLSTADT, IL 62260</x:v>
      </x:c>
      <x:c r="B56" s="15" t="n">
        <x:v>80.34</x:v>
      </x:c>
      <x:c r="C56" s="15" t="n">
        <x:v>267.79</x:v>
      </x:c>
      <x:c r="D56" s="13" t="n">
        <x:f>ROUND(C56-B56,2)</x:f>
        <x:v>187.45</x:v>
      </x:c>
    </x:row>
    <x:row r="57" ht="46" customHeight="1">
      <x:c r="A57" s="9" t="str">
        <x:v>4646 URBANA RD, MILLSTADT, IL 62260</x:v>
      </x:c>
      <x:c r="B57" s="11" t="n">
        <x:v>47.3</x:v>
      </x:c>
      <x:c r="C57" s="11" t="n">
        <x:v>157.68</x:v>
      </x:c>
      <x:c r="D57" s="13" t="n">
        <x:f>ROUND(C57-B57,2)</x:f>
        <x:v>110.38</x:v>
      </x:c>
    </x:row>
    <x:row r="58" ht="46" customHeight="1">
      <x:c r="A58" s="14" t="str">
        <x:v>4652 URBANA RD, MILLSTADT, IL 62260</x:v>
      </x:c>
      <x:c r="B58" s="15" t="n">
        <x:v>51.43</x:v>
      </x:c>
      <x:c r="C58" s="15" t="n">
        <x:v>171.44</x:v>
      </x:c>
      <x:c r="D58" s="13" t="n">
        <x:f>ROUND(C58-B58,2)</x:f>
        <x:v>120.01</x:v>
      </x:c>
    </x:row>
  </x:sheetData>
  <x:sheetProtection algorithmName="SHA-512" hashValue="yRziRlHw/LxoQbFH/PXVwAoy8OwMErPBTNU8wRjj+dxJAPgEpLVq7pwC+yKVnR1zjuQbYPxzXIojMaiB2odQrQ==" saltValue="EEUT+4x7cgEk1Dgl+BJJQQ==" spinCount="100000" sheet="1" objects="1" scenarios="1"/>
  <x:pageMargins left="0.7" right="0.7" top="0.75" bottom="0.75" header="0.3" footer="0.3"/>
</x:worksheet>
</file>