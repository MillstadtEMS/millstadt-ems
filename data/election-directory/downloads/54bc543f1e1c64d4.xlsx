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4ee5208b64946" /></Relationships>
</file>

<file path=xl/workbook.xml><?xml version="1.0" encoding="utf-8"?>
<x:workbook xmlns:x="http://schemas.openxmlformats.org/spreadsheetml/2006/main">
  <x:workbookProtection workbookAlgorithmName="SHA-512" workbookHashValue="RhUIPXmvdhTRu+wyOBUtsxZ8cloJ5fOpmBiJFGDCSvQxfj5LnLXgbFtwTq2WzGiirlRbcEFp2eMCnkK623aCFw==" workbookSaltValue="4X33PPcOvl0r0fU2agOgLA==" workbookSpinCount="100000" lockStructure="1"/>
  <x:sheets>
    <x:sheet xmlns:r="http://schemas.openxmlformats.org/officeDocument/2006/relationships" name="Annual EMS taxes" sheetId="1" r:id="R287b1967b8ea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8ad7eab634d2f" /><Relationship Type="http://schemas.openxmlformats.org/officeDocument/2006/relationships/theme" Target="/xl/theme/theme1.xml" Id="R22ef0aae1b124833" /><Relationship Type="http://schemas.openxmlformats.org/officeDocument/2006/relationships/sharedStrings" Target="/xl/sharedStrings.xml" Id="R0a913ee91d5242c1" /><Relationship Type="http://schemas.openxmlformats.org/officeDocument/2006/relationships/worksheet" Target="/xl/worksheets/sheet1.xml" Id="R287b1967b8ea48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6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1931 KROPP RD, MILLSTADT, IL 62260</x:v>
      </x:c>
      <x:c r="B7" s="11" t="n">
        <x:v>51.34</x:v>
      </x:c>
      <x:c r="C7" s="11" t="n">
        <x:v>171.13</x:v>
      </x:c>
      <x:c r="D7" s="13" t="n">
        <x:f>ROUND(C7-B7,2)</x:f>
        <x:v>119.79</x:v>
      </x:c>
    </x:row>
    <x:row r="8" ht="46" customHeight="1">
      <x:c r="A8" s="14" t="str">
        <x:v>1939 KROPP RD, MILLSTADT, IL 62260</x:v>
      </x:c>
      <x:c r="B8" s="15" t="n">
        <x:v>31.73</x:v>
      </x:c>
      <x:c r="C8" s="15" t="n">
        <x:v>105.78</x:v>
      </x:c>
      <x:c r="D8" s="13" t="n">
        <x:f>ROUND(C8-B8,2)</x:f>
        <x:v>74.05</x:v>
      </x:c>
    </x:row>
    <x:row r="9" ht="46" customHeight="1">
      <x:c r="A9" s="9" t="str">
        <x:v>2007 KROPP RD, MILLSTADT, IL 62260</x:v>
      </x:c>
      <x:c r="B9" s="11" t="n">
        <x:v>39.54</x:v>
      </x:c>
      <x:c r="C9" s="11" t="n">
        <x:v>131.8</x:v>
      </x:c>
      <x:c r="D9" s="13" t="n">
        <x:f>ROUND(C9-B9,2)</x:f>
        <x:v>92.26</x:v>
      </x:c>
    </x:row>
    <x:row r="10" ht="46" customHeight="1">
      <x:c r="A10" s="14" t="str">
        <x:v>6833 OAKDALE SCHOOL RD, MILLSTADT, IL 62260
Parcel 12-06.0-400-019</x:v>
      </x:c>
      <x:c r="B10" s="15" t="n">
        <x:v>97.26</x:v>
      </x:c>
      <x:c r="C10" s="15" t="n">
        <x:v>324.21</x:v>
      </x:c>
      <x:c r="D10" s="13" t="n">
        <x:f>ROUND(C10-B10,2)</x:f>
        <x:v>226.95</x:v>
      </x:c>
    </x:row>
    <x:row r="11" ht="46" customHeight="1">
      <x:c r="A11" s="9" t="str">
        <x:v>2705 SAEGER RD, MILLSTADT, IL 62260
Parcel 12-06.0-200-025</x:v>
      </x:c>
      <x:c r="B11" s="11" t="n">
        <x:v>0.17</x:v>
      </x:c>
      <x:c r="C11" s="11" t="n">
        <x:v>0.56</x:v>
      </x:c>
      <x:c r="D11" s="13" t="n">
        <x:f>ROUND(C11-B11,2)</x:f>
        <x:v>0.39</x:v>
      </x:c>
    </x:row>
    <x:row r="12" ht="46" customHeight="1">
      <x:c r="A12" s="14" t="str">
        <x:v>2735 SAEGER RD, MILLSTADT, IL 62260</x:v>
      </x:c>
      <x:c r="B12" s="15" t="n">
        <x:v>117.71</x:v>
      </x:c>
      <x:c r="C12" s="15" t="n">
        <x:v>392.36</x:v>
      </x:c>
      <x:c r="D12" s="13" t="n">
        <x:f>ROUND(C12-B12,2)</x:f>
        <x:v>274.65</x:v>
      </x:c>
    </x:row>
    <x:row r="13" ht="46" customHeight="1">
      <x:c r="A13" s="9" t="str">
        <x:v>2736 SAEGER RD, MILLSTADT, IL 62260</x:v>
      </x:c>
      <x:c r="B13" s="11" t="n">
        <x:v>94.96</x:v>
      </x:c>
      <x:c r="C13" s="11" t="n">
        <x:v>316.54</x:v>
      </x:c>
      <x:c r="D13" s="13" t="n">
        <x:f>ROUND(C13-B13,2)</x:f>
        <x:v>221.58</x:v>
      </x:c>
    </x:row>
    <x:row r="14" ht="46" customHeight="1">
      <x:c r="A14" s="14" t="str">
        <x:v>2801 SAEGER RD, MILLSTADT, IL 62260</x:v>
      </x:c>
      <x:c r="B14" s="15" t="n">
        <x:v>0</x:v>
      </x:c>
      <x:c r="C14" s="15" t="n">
        <x:v>0</x:v>
      </x:c>
      <x:c r="D14" s="13" t="n">
        <x:f>ROUND(C14-B14,2)</x:f>
        <x:v>0</x:v>
      </x:c>
    </x:row>
    <x:row r="15" ht="46" customHeight="1">
      <x:c r="A15" s="9" t="str">
        <x:v>2840 SAEGER RD, MILLSTADT, IL 62260</x:v>
      </x:c>
      <x:c r="B15" s="11" t="n">
        <x:v>48.7</x:v>
      </x:c>
      <x:c r="C15" s="11" t="n">
        <x:v>162.34</x:v>
      </x:c>
      <x:c r="D15" s="13" t="n">
        <x:f>ROUND(C15-B15,2)</x:f>
        <x:v>113.64</x:v>
      </x:c>
    </x:row>
    <x:row r="16" ht="46" customHeight="1">
      <x:c r="A16" s="14" t="str">
        <x:v>2850 SAEGER RD, MILLSTADT, IL 62260</x:v>
      </x:c>
      <x:c r="B16" s="15" t="n">
        <x:v>87.35</x:v>
      </x:c>
      <x:c r="C16" s="15" t="n">
        <x:v>291.16</x:v>
      </x:c>
      <x:c r="D16" s="13" t="n">
        <x:f>ROUND(C16-B16,2)</x:f>
        <x:v>203.81</x:v>
      </x:c>
    </x:row>
    <x:row r="17" ht="46" customHeight="1">
      <x:c r="A17" s="9" t="str">
        <x:v>2856 SAEGER RD, MILLSTADT, IL 62260</x:v>
      </x:c>
      <x:c r="B17" s="11" t="n">
        <x:v>95.63</x:v>
      </x:c>
      <x:c r="C17" s="11" t="n">
        <x:v>318.78</x:v>
      </x:c>
      <x:c r="D17" s="13" t="n">
        <x:f>ROUND(C17-B17,2)</x:f>
        <x:v>223.15</x:v>
      </x:c>
    </x:row>
    <x:row r="18" ht="46" customHeight="1">
      <x:c r="A18" s="14" t="str">
        <x:v>0 SCHARF LN, MILLSTADT, IL 62260</x:v>
      </x:c>
      <x:c r="B18" s="15" t="n">
        <x:v>1.11</x:v>
      </x:c>
      <x:c r="C18" s="15" t="n">
        <x:v>3.69</x:v>
      </x:c>
      <x:c r="D18" s="13" t="n">
        <x:f>ROUND(C18-B18,2)</x:f>
        <x:v>2.58</x:v>
      </x:c>
    </x:row>
    <x:row r="19" ht="46" customHeight="1">
      <x:c r="A19" s="9" t="str">
        <x:v>2021 SCHARF LN, MILLSTADT, IL 62260
Parcel 12-06.0-300-032</x:v>
      </x:c>
      <x:c r="B19" s="11" t="n">
        <x:v>1.02</x:v>
      </x:c>
      <x:c r="C19" s="11" t="n">
        <x:v>3.4</x:v>
      </x:c>
      <x:c r="D19" s="13" t="n">
        <x:f>ROUND(C19-B19,2)</x:f>
        <x:v>2.38</x:v>
      </x:c>
    </x:row>
    <x:row r="20" ht="46" customHeight="1">
      <x:c r="A20" s="14" t="str">
        <x:v>2021 SCHARF LN, MILLSTADT, IL 62260
Parcel 12-06.0-300-035</x:v>
      </x:c>
      <x:c r="B20" s="15" t="n">
        <x:v>127.49</x:v>
      </x:c>
      <x:c r="C20" s="15" t="n">
        <x:v>424.98</x:v>
      </x:c>
      <x:c r="D20" s="13" t="n">
        <x:f>ROUND(C20-B20,2)</x:f>
        <x:v>297.49</x:v>
      </x:c>
    </x:row>
    <x:row r="21" ht="46" customHeight="1">
      <x:c r="A21" s="9" t="str">
        <x:v>1654 SUTTER LN, MILLSTADT, IL 62260</x:v>
      </x:c>
      <x:c r="B21" s="11" t="n">
        <x:v>77.14</x:v>
      </x:c>
      <x:c r="C21" s="11" t="n">
        <x:v>257.13</x:v>
      </x:c>
      <x:c r="D21" s="13" t="n">
        <x:f>ROUND(C21-B21,2)</x:f>
        <x:v>179.99</x:v>
      </x:c>
    </x:row>
    <x:row r="22" ht="46" customHeight="1">
      <x:c r="A22" s="14" t="str">
        <x:v>1655 SUTTER LN, MILLSTADT, IL 62260</x:v>
      </x:c>
      <x:c r="B22" s="15" t="n">
        <x:v>57.56</x:v>
      </x:c>
      <x:c r="C22" s="15" t="n">
        <x:v>191.87</x:v>
      </x:c>
      <x:c r="D22" s="13" t="n">
        <x:f>ROUND(C22-B22,2)</x:f>
        <x:v>134.31</x:v>
      </x:c>
    </x:row>
    <x:row r="23" ht="46" customHeight="1">
      <x:c r="A23" s="9" t="str">
        <x:v>6942 TRIPLE LAKES LN, MILLSTADT, IL 62260</x:v>
      </x:c>
      <x:c r="B23" s="11" t="n">
        <x:v>117.04</x:v>
      </x:c>
      <x:c r="C23" s="11" t="n">
        <x:v>390.14</x:v>
      </x:c>
      <x:c r="D23" s="13" t="n">
        <x:f>ROUND(C23-B23,2)</x:f>
        <x:v>273.1</x:v>
      </x:c>
    </x:row>
    <x:row r="24" ht="46" customHeight="1">
      <x:c r="A24" s="14" t="str">
        <x:v>6950 TRIPLE LAKES LN, MILLSTADT, IL 62260</x:v>
      </x:c>
      <x:c r="B24" s="15" t="n">
        <x:v>104.94</x:v>
      </x:c>
      <x:c r="C24" s="15" t="n">
        <x:v>349.81</x:v>
      </x:c>
      <x:c r="D24" s="13" t="n">
        <x:f>ROUND(C24-B24,2)</x:f>
        <x:v>244.87</x:v>
      </x:c>
    </x:row>
    <x:row r="25" ht="46" customHeight="1">
      <x:c r="A25" s="9" t="str">
        <x:v>6960 TRIPLE LAKES LN, MILLSTADT, IL 62260</x:v>
      </x:c>
      <x:c r="B25" s="11" t="n">
        <x:v>99.19</x:v>
      </x:c>
      <x:c r="C25" s="11" t="n">
        <x:v>330.64</x:v>
      </x:c>
      <x:c r="D25" s="13" t="n">
        <x:f>ROUND(C25-B25,2)</x:f>
        <x:v>231.45</x:v>
      </x:c>
    </x:row>
  </x:sheetData>
  <x:sheetProtection algorithmName="SHA-512" hashValue="RhUIPXmvdhTRu+wyOBUtsxZ8cloJ5fOpmBiJFGDCSvQxfj5LnLXgbFtwTq2WzGiirlRbcEFp2eMCnkK623aCFw==" saltValue="4X33PPcOvl0r0fU2agOgLA==" spinCount="100000" sheet="1" objects="1" scenarios="1"/>
  <x:pageMargins left="0.7" right="0.7" top="0.75" bottom="0.75" header="0.3" footer="0.3"/>
</x:worksheet>
</file>