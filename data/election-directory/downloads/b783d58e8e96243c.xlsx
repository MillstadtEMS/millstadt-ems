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74e9febe64fef" /></Relationships>
</file>

<file path=xl/workbook.xml><?xml version="1.0" encoding="utf-8"?>
<x:workbook xmlns:x="http://schemas.openxmlformats.org/spreadsheetml/2006/main">
  <x:workbookProtection workbookAlgorithmName="SHA-512" workbookHashValue="aCkB5AHcR9Qpkq8CHbC4oB9+uYk9qGcBEzsZZhWylkF0ERyLzBH9m33CNhBhq19nChB9y6Qa7FaIk4sVHvfRww==" workbookSaltValue="9TConQxEftVUvm0HFjEDZg==" workbookSpinCount="100000" lockStructure="1"/>
  <x:sheets>
    <x:sheet xmlns:r="http://schemas.openxmlformats.org/officeDocument/2006/relationships" name="Annual EMS taxes" sheetId="1" r:id="R0f2e41823bee48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bd921068ab4bfc" /><Relationship Type="http://schemas.openxmlformats.org/officeDocument/2006/relationships/theme" Target="/xl/theme/theme1.xml" Id="R664215ba3e28481b" /><Relationship Type="http://schemas.openxmlformats.org/officeDocument/2006/relationships/sharedStrings" Target="/xl/sharedStrings.xml" Id="R5628f361f07549bb" /><Relationship Type="http://schemas.openxmlformats.org/officeDocument/2006/relationships/worksheet" Target="/xl/worksheets/sheet1.xml" Id="R0f2e41823bee48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GOODINGS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211 MAIN ST, MILLSTADT, IL 62260</x:v>
      </x:c>
      <x:c r="B7" s="11" t="n">
        <x:v>0</x:v>
      </x:c>
      <x:c r="C7" s="11" t="n">
        <x:v>0</x:v>
      </x:c>
      <x:c r="D7" s="13" t="n">
        <x:f>ROUND(C7-B7,2)</x:f>
        <x:v>0</x:v>
      </x:c>
    </x:row>
    <x:row r="8" ht="46" customHeight="1">
      <x:c r="A8" s="14" t="str">
        <x:v>13 N JACKSON ST, MILLSTADT, IL 62260
Parcel 12-09.0-217-017</x:v>
      </x:c>
      <x:c r="B8" s="15" t="n">
        <x:v>3.39</x:v>
      </x:c>
      <x:c r="C8" s="15" t="n">
        <x:v>11.32</x:v>
      </x:c>
      <x:c r="D8" s="13" t="n">
        <x:f>ROUND(C8-B8,2)</x:f>
        <x:v>7.93</x:v>
      </x:c>
    </x:row>
    <x:row r="9" ht="46" customHeight="1">
      <x:c r="A9" s="9" t="str">
        <x:v>13 N JACKSON ST, MILLSTADT, IL 62260
Parcel 12-09.0-217-018</x:v>
      </x:c>
      <x:c r="B9" s="11" t="n">
        <x:v>49.83</x:v>
      </x:c>
      <x:c r="C9" s="11" t="n">
        <x:v>166.11</x:v>
      </x:c>
      <x:c r="D9" s="13" t="n">
        <x:f>ROUND(C9-B9,2)</x:f>
        <x:v>116.28</x:v>
      </x:c>
    </x:row>
    <x:row r="10" ht="46" customHeight="1">
      <x:c r="A10" s="14" t="str">
        <x:v>14 N JACKSON ST, MILLSTADT, IL 62260</x:v>
      </x:c>
      <x:c r="B10" s="15" t="n">
        <x:v>46.51</x:v>
      </x:c>
      <x:c r="C10" s="15" t="n">
        <x:v>155.02</x:v>
      </x:c>
      <x:c r="D10" s="13" t="n">
        <x:f>ROUND(C10-B10,2)</x:f>
        <x:v>108.51</x:v>
      </x:c>
    </x:row>
    <x:row r="11" ht="46" customHeight="1">
      <x:c r="A11" s="9" t="str">
        <x:v>15 N JEFFERSON ST, MILLSTADT, IL 62260</x:v>
      </x:c>
      <x:c r="B11" s="11" t="n">
        <x:v>125.44</x:v>
      </x:c>
      <x:c r="C11" s="11" t="n">
        <x:v>418.12</x:v>
      </x:c>
      <x:c r="D11" s="13" t="n">
        <x:f>ROUND(C11-B11,2)</x:f>
        <x:v>292.68</x:v>
      </x:c>
    </x:row>
    <x:row r="12" ht="46" customHeight="1">
      <x:c r="A12" s="14" t="str">
        <x:v>115 N JEFFERSON ST, MILLSTADT, IL 62260
Parcel 12-09.0-213-004</x:v>
      </x:c>
      <x:c r="B12" s="15" t="n">
        <x:v>2.27</x:v>
      </x:c>
      <x:c r="C12" s="15" t="n">
        <x:v>7.57</x:v>
      </x:c>
      <x:c r="D12" s="13" t="n">
        <x:f>ROUND(C12-B12,2)</x:f>
        <x:v>5.3</x:v>
      </x:c>
    </x:row>
    <x:row r="13" ht="46" customHeight="1">
      <x:c r="A13" s="9" t="str">
        <x:v>115 N JEFFERSON ST, MILLSTADT, IL 62260
Parcel 12-09.0-213-005</x:v>
      </x:c>
      <x:c r="B13" s="11" t="n">
        <x:v>42.85</x:v>
      </x:c>
      <x:c r="C13" s="11" t="n">
        <x:v>142.82</x:v>
      </x:c>
      <x:c r="D13" s="13" t="n">
        <x:f>ROUND(C13-B13,2)</x:f>
        <x:v>99.97</x:v>
      </x:c>
    </x:row>
    <x:row r="14" ht="46" customHeight="1">
      <x:c r="A14" s="14" t="str">
        <x:v>201 N JEFFERSON ST, MILLSTADT, IL 62260</x:v>
      </x:c>
      <x:c r="B14" s="15" t="n">
        <x:v>68.88</x:v>
      </x:c>
      <x:c r="C14" s="15" t="n">
        <x:v>229.61</x:v>
      </x:c>
      <x:c r="D14" s="13" t="n">
        <x:f>ROUND(C14-B14,2)</x:f>
        <x:v>160.73</x:v>
      </x:c>
    </x:row>
    <x:row r="15" ht="46" customHeight="1">
      <x:c r="A15" s="9" t="str">
        <x:v>19 N LAFAYETTE ST, MILLSTADT, IL 62260
Parcel 12-09.0-216-005</x:v>
      </x:c>
      <x:c r="B15" s="11" t="n">
        <x:v>44.51</x:v>
      </x:c>
      <x:c r="C15" s="11" t="n">
        <x:v>148.36</x:v>
      </x:c>
      <x:c r="D15" s="13" t="n">
        <x:f>ROUND(C15-B15,2)</x:f>
        <x:v>103.85</x:v>
      </x:c>
    </x:row>
    <x:row r="16" ht="46" customHeight="1">
      <x:c r="A16" s="14" t="str">
        <x:v>19 N LAFAYETTE ST, MILLSTADT, IL 62260
Parcel 12-09.0-216-006</x:v>
      </x:c>
      <x:c r="B16" s="15" t="n">
        <x:v>3.01</x:v>
      </x:c>
      <x:c r="C16" s="15" t="n">
        <x:v>10.05</x:v>
      </x:c>
      <x:c r="D16" s="13" t="n">
        <x:f>ROUND(C16-B16,2)</x:f>
        <x:v>7.04</x:v>
      </x:c>
    </x:row>
    <x:row r="17" ht="46" customHeight="1">
      <x:c r="A17" s="9" t="str">
        <x:v>113 N LAFAYETTE ST, MILLSTADT, IL 62260</x:v>
      </x:c>
      <x:c r="B17" s="11" t="n">
        <x:v>0</x:v>
      </x:c>
      <x:c r="C17" s="11" t="n">
        <x:v>0</x:v>
      </x:c>
      <x:c r="D17" s="13" t="n">
        <x:f>ROUND(C17-B17,2)</x:f>
        <x:v>0</x:v>
      </x:c>
    </x:row>
    <x:row r="18" ht="46" customHeight="1">
      <x:c r="A18" s="14" t="str">
        <x:v>200 N LAFAYETTE ST, MILLSTADT, IL 62260</x:v>
      </x:c>
      <x:c r="B18" s="15" t="n">
        <x:v>37.39</x:v>
      </x:c>
      <x:c r="C18" s="15" t="n">
        <x:v>124.65</x:v>
      </x:c>
      <x:c r="D18" s="13" t="n">
        <x:f>ROUND(C18-B18,2)</x:f>
        <x:v>87.26</x:v>
      </x:c>
    </x:row>
    <x:row r="19" ht="46" customHeight="1">
      <x:c r="A19" s="9" t="str">
        <x:v>13 N MAIN ST, MILLSTADT, IL 62260
Parcel 12-09.0-219-005</x:v>
      </x:c>
      <x:c r="B19" s="11" t="n">
        <x:v>1.14</x:v>
      </x:c>
      <x:c r="C19" s="11" t="n">
        <x:v>3.81</x:v>
      </x:c>
      <x:c r="D19" s="13" t="n">
        <x:f>ROUND(C19-B19,2)</x:f>
        <x:v>2.67</x:v>
      </x:c>
    </x:row>
    <x:row r="20" ht="46" customHeight="1">
      <x:c r="A20" s="14" t="str">
        <x:v>13 N MAIN ST, MILLSTADT, IL 62260
Parcel 12-09.0-219-006</x:v>
      </x:c>
      <x:c r="B20" s="15" t="n">
        <x:v>41.93</x:v>
      </x:c>
      <x:c r="C20" s="15" t="n">
        <x:v>139.77</x:v>
      </x:c>
      <x:c r="D20" s="13" t="n">
        <x:f>ROUND(C20-B20,2)</x:f>
        <x:v>97.84</x:v>
      </x:c>
    </x:row>
    <x:row r="21" ht="46" customHeight="1">
      <x:c r="A21" s="9" t="str">
        <x:v>10 N MONROE ST, MILLSTADT, IL 62260</x:v>
      </x:c>
      <x:c r="B21" s="11" t="n">
        <x:v>51.65</x:v>
      </x:c>
      <x:c r="C21" s="11" t="n">
        <x:v>172.16</x:v>
      </x:c>
      <x:c r="D21" s="13" t="n">
        <x:f>ROUND(C21-B21,2)</x:f>
        <x:v>120.51</x:v>
      </x:c>
    </x:row>
    <x:row r="22" ht="46" customHeight="1">
      <x:c r="A22" s="14" t="str">
        <x:v>16 N MONROE ST, MILLSTADT, IL 62260</x:v>
      </x:c>
      <x:c r="B22" s="15" t="n">
        <x:v>46.92</x:v>
      </x:c>
      <x:c r="C22" s="15" t="n">
        <x:v>156.39</x:v>
      </x:c>
      <x:c r="D22" s="13" t="n">
        <x:f>ROUND(C22-B22,2)</x:f>
        <x:v>109.47</x:v>
      </x:c>
    </x:row>
    <x:row r="23" ht="46" customHeight="1">
      <x:c r="A23" s="9" t="str">
        <x:v>116 N MONROE ST, MILLSTADT, IL 62260</x:v>
      </x:c>
      <x:c r="B23" s="11" t="n">
        <x:v>0</x:v>
      </x:c>
      <x:c r="C23" s="11" t="n">
        <x:v>0</x:v>
      </x:c>
      <x:c r="D23" s="13" t="n">
        <x:f>ROUND(C23-B23,2)</x:f>
        <x:v>0</x:v>
      </x:c>
    </x:row>
    <x:row r="24" ht="46" customHeight="1">
      <x:c r="A24" s="14" t="str">
        <x:v>10 W GOODING ST, MILLSTADT, IL 62260</x:v>
      </x:c>
      <x:c r="B24" s="15" t="n">
        <x:v>0</x:v>
      </x:c>
      <x:c r="C24" s="15" t="n">
        <x:v>0</x:v>
      </x:c>
      <x:c r="D24" s="13" t="n">
        <x:f>ROUND(C24-B24,2)</x:f>
        <x:v>0</x:v>
      </x:c>
    </x:row>
    <x:row r="25" ht="46" customHeight="1">
      <x:c r="A25" s="9" t="str">
        <x:v>14 W GOODING ST, MILLSTADT, IL 62260</x:v>
      </x:c>
      <x:c r="B25" s="11" t="n">
        <x:v>0</x:v>
      </x:c>
      <x:c r="C25" s="11" t="n">
        <x:v>0</x:v>
      </x:c>
      <x:c r="D25" s="13" t="n">
        <x:f>ROUND(C25-B25,2)</x:f>
        <x:v>0</x:v>
      </x:c>
    </x:row>
    <x:row r="26" ht="46" customHeight="1">
      <x:c r="A26" s="14" t="str">
        <x:v>18 W GOODING ST, MILLSTADT, IL 62260</x:v>
      </x:c>
      <x:c r="B26" s="15" t="n">
        <x:v>51.98</x:v>
      </x:c>
      <x:c r="C26" s="15" t="n">
        <x:v>173.27</x:v>
      </x:c>
      <x:c r="D26" s="13" t="n">
        <x:f>ROUND(C26-B26,2)</x:f>
        <x:v>121.29</x:v>
      </x:c>
    </x:row>
    <x:row r="27" ht="46" customHeight="1">
      <x:c r="A27" s="9" t="str">
        <x:v>19 W GOODING ST, MILLSTADT, IL 62260</x:v>
      </x:c>
      <x:c r="B27" s="11" t="n">
        <x:v>51.59</x:v>
      </x:c>
      <x:c r="C27" s="11" t="n">
        <x:v>171.96</x:v>
      </x:c>
      <x:c r="D27" s="13" t="n">
        <x:f>ROUND(C27-B27,2)</x:f>
        <x:v>120.37</x:v>
      </x:c>
    </x:row>
    <x:row r="28" ht="46" customHeight="1">
      <x:c r="A28" s="14" t="str">
        <x:v>112 W GOODING ST, MILLSTADT, IL 62260</x:v>
      </x:c>
      <x:c r="B28" s="15" t="n">
        <x:v>0</x:v>
      </x:c>
      <x:c r="C28" s="15" t="n">
        <x:v>0</x:v>
      </x:c>
      <x:c r="D28" s="13" t="n">
        <x:f>ROUND(C28-B28,2)</x:f>
        <x:v>0</x:v>
      </x:c>
    </x:row>
    <x:row r="29" ht="46" customHeight="1">
      <x:c r="A29" s="9" t="str">
        <x:v>1 W MILL ST, MILLSTADT, IL 62260</x:v>
      </x:c>
      <x:c r="B29" s="11" t="n">
        <x:v>64.52</x:v>
      </x:c>
      <x:c r="C29" s="11" t="n">
        <x:v>215.08</x:v>
      </x:c>
      <x:c r="D29" s="13" t="n">
        <x:f>ROUND(C29-B29,2)</x:f>
        <x:v>150.56</x:v>
      </x:c>
    </x:row>
    <x:row r="30" ht="46" customHeight="1">
      <x:c r="A30" s="14" t="str">
        <x:v>5 W MILL ST, MILLSTADT, IL 62260</x:v>
      </x:c>
      <x:c r="B30" s="15" t="n">
        <x:v>78.4</x:v>
      </x:c>
      <x:c r="C30" s="15" t="n">
        <x:v>261.34</x:v>
      </x:c>
      <x:c r="D30" s="13" t="n">
        <x:f>ROUND(C30-B30,2)</x:f>
        <x:v>182.94</x:v>
      </x:c>
    </x:row>
    <x:row r="31" ht="46" customHeight="1">
      <x:c r="A31" s="9" t="str">
        <x:v>12 W MILL ST, MILLSTADT, IL 62260</x:v>
      </x:c>
      <x:c r="B31" s="11" t="n">
        <x:v>55.31</x:v>
      </x:c>
      <x:c r="C31" s="11" t="n">
        <x:v>184.38</x:v>
      </x:c>
      <x:c r="D31" s="13" t="n">
        <x:f>ROUND(C31-B31,2)</x:f>
        <x:v>129.07</x:v>
      </x:c>
    </x:row>
    <x:row r="32" ht="46" customHeight="1">
      <x:c r="A32" s="14" t="str">
        <x:v>19 W MILL ST, MILLSTADT, IL 62260</x:v>
      </x:c>
      <x:c r="B32" s="15" t="n">
        <x:v>38.53</x:v>
      </x:c>
      <x:c r="C32" s="15" t="n">
        <x:v>128.45</x:v>
      </x:c>
      <x:c r="D32" s="13" t="n">
        <x:f>ROUND(C32-B32,2)</x:f>
        <x:v>89.92</x:v>
      </x:c>
    </x:row>
    <x:row r="33" ht="46" customHeight="1">
      <x:c r="A33" s="9" t="str">
        <x:v>101 W MILL ST, MILLSTADT, IL 62260</x:v>
      </x:c>
      <x:c r="B33" s="11" t="n">
        <x:v>42.68</x:v>
      </x:c>
      <x:c r="C33" s="11" t="n">
        <x:v>142.25</x:v>
      </x:c>
      <x:c r="D33" s="13" t="n">
        <x:f>ROUND(C33-B33,2)</x:f>
        <x:v>99.57</x:v>
      </x:c>
    </x:row>
    <x:row r="34" ht="46" customHeight="1">
      <x:c r="A34" s="14" t="str">
        <x:v>105 W MILL ST, MILLSTADT, IL 62260
Parcel 12-09.0-212-008</x:v>
      </x:c>
      <x:c r="B34" s="15" t="n">
        <x:v>49.62</x:v>
      </x:c>
      <x:c r="C34" s="15" t="n">
        <x:v>165.41</x:v>
      </x:c>
      <x:c r="D34" s="13" t="n">
        <x:f>ROUND(C34-B34,2)</x:f>
        <x:v>115.79</x:v>
      </x:c>
    </x:row>
    <x:row r="35" ht="46" customHeight="1">
      <x:c r="A35" s="9" t="str">
        <x:v>105 W MILL ST, MILLSTADT, IL 62260
Parcel 12-09.0-212-009</x:v>
      </x:c>
      <x:c r="B35" s="11" t="n">
        <x:v>1.14</x:v>
      </x:c>
      <x:c r="C35" s="11" t="n">
        <x:v>3.8</x:v>
      </x:c>
      <x:c r="D35" s="13" t="n">
        <x:f>ROUND(C35-B35,2)</x:f>
        <x:v>2.66</x:v>
      </x:c>
    </x:row>
    <x:row r="36" ht="46" customHeight="1">
      <x:c r="A36" s="14" t="str">
        <x:v>115 W MILL ST, MILLSTADT, IL 62260</x:v>
      </x:c>
      <x:c r="B36" s="15" t="n">
        <x:v>17.32</x:v>
      </x:c>
      <x:c r="C36" s="15" t="n">
        <x:v>57.74</x:v>
      </x:c>
      <x:c r="D36" s="13" t="n">
        <x:f>ROUND(C36-B36,2)</x:f>
        <x:v>40.42</x:v>
      </x:c>
    </x:row>
    <x:row r="37" ht="46" customHeight="1">
      <x:c r="A37" s="9" t="str">
        <x:v>119 W MILL ST, MILLSTADT, IL 62260</x:v>
      </x:c>
      <x:c r="B37" s="11" t="n">
        <x:v>0</x:v>
      </x:c>
      <x:c r="C37" s="11" t="n">
        <x:v>0</x:v>
      </x:c>
      <x:c r="D37" s="13" t="n">
        <x:f>ROUND(C37-B37,2)</x:f>
        <x:v>0</x:v>
      </x:c>
    </x:row>
    <x:row r="38" ht="46" customHeight="1">
      <x:c r="A38" s="14" t="str">
        <x:v>200 W MILL ST, MILLSTADT, IL 62260</x:v>
      </x:c>
      <x:c r="B38" s="15" t="n">
        <x:v>34.43</x:v>
      </x:c>
      <x:c r="C38" s="15" t="n">
        <x:v>114.78</x:v>
      </x:c>
      <x:c r="D38" s="13" t="n">
        <x:f>ROUND(C38-B38,2)</x:f>
        <x:v>80.35</x:v>
      </x:c>
    </x:row>
    <x:row r="39" ht="46" customHeight="1">
      <x:c r="A39" s="9" t="str">
        <x:v>210 W MILL ST, MILLSTADT, IL 62260
Parcel 12-09.0-218-002</x:v>
      </x:c>
      <x:c r="B39" s="11" t="n">
        <x:v>66.97</x:v>
      </x:c>
      <x:c r="C39" s="11" t="n">
        <x:v>223.22</x:v>
      </x:c>
      <x:c r="D39" s="13" t="n">
        <x:f>ROUND(C39-B39,2)</x:f>
        <x:v>156.25</x:v>
      </x:c>
    </x:row>
    <x:row r="40" ht="46" customHeight="1">
      <x:c r="A40" s="14" t="str">
        <x:v>210 W MILL ST, MILLSTADT, IL 62260
Parcel 12-09.0-218-003</x:v>
      </x:c>
      <x:c r="B40" s="15" t="n">
        <x:v>8.96</x:v>
      </x:c>
      <x:c r="C40" s="15" t="n">
        <x:v>29.85</x:v>
      </x:c>
      <x:c r="D40" s="13" t="n">
        <x:f>ROUND(C40-B40,2)</x:f>
        <x:v>20.89</x:v>
      </x:c>
    </x:row>
    <x:row r="41" ht="46" customHeight="1">
      <x:c r="A41" s="9" t="str">
        <x:v>210 W MILL ST, MILLSTADT, IL 62260
Parcel 12-09.0-218-004</x:v>
      </x:c>
      <x:c r="B41" s="11" t="n">
        <x:v>8.97</x:v>
      </x:c>
      <x:c r="C41" s="11" t="n">
        <x:v>29.91</x:v>
      </x:c>
      <x:c r="D41" s="13" t="n">
        <x:f>ROUND(C41-B41,2)</x:f>
        <x:v>20.94</x:v>
      </x:c>
    </x:row>
    <x:row r="42" ht="46" customHeight="1">
      <x:c r="A42" s="14" t="str">
        <x:v>211 W MILL ST, MILLSTADT, IL 62260
Parcel 12-09.0-206-004</x:v>
      </x:c>
      <x:c r="B42" s="15" t="n">
        <x:v>0</x:v>
      </x:c>
      <x:c r="C42" s="15" t="n">
        <x:v>0</x:v>
      </x:c>
      <x:c r="D42" s="13" t="n">
        <x:f>ROUND(C42-B42,2)</x:f>
        <x:v>0</x:v>
      </x:c>
    </x:row>
    <x:row r="43" ht="46" customHeight="1">
      <x:c r="A43" s="9" t="str">
        <x:v>211 W MILL ST, MILLSTADT, IL 62260
Parcel 12-09.0-210-001</x:v>
      </x:c>
      <x:c r="B43" s="11" t="n">
        <x:v>0</x:v>
      </x:c>
      <x:c r="C43" s="11" t="n">
        <x:v>0</x:v>
      </x:c>
      <x:c r="D43" s="13" t="n">
        <x:f>ROUND(C43-B43,2)</x:f>
        <x:v>0</x:v>
      </x:c>
    </x:row>
    <x:row r="44" ht="46" customHeight="1">
      <x:c r="A44" s="14" t="str">
        <x:v>317 W MILL ST, MILLSTADT, IL 62260
Parcel 12-09.0-210-002</x:v>
      </x:c>
      <x:c r="B44" s="15" t="n">
        <x:v>80.26</x:v>
      </x:c>
      <x:c r="C44" s="15" t="n">
        <x:v>267.52</x:v>
      </x:c>
      <x:c r="D44" s="13" t="n">
        <x:f>ROUND(C44-B44,2)</x:f>
        <x:v>187.26</x:v>
      </x:c>
    </x:row>
    <x:row r="45" ht="46" customHeight="1">
      <x:c r="A45" s="9" t="str">
        <x:v>317 W MILL ST, MILLSTADT, IL 62260
Parcel 12-09.0-210-003</x:v>
      </x:c>
      <x:c r="B45" s="11" t="n">
        <x:v>2.29</x:v>
      </x:c>
      <x:c r="C45" s="11" t="n">
        <x:v>7.62</x:v>
      </x:c>
      <x:c r="D45" s="13" t="n">
        <x:f>ROUND(C45-B45,2)</x:f>
        <x:v>5.33</x:v>
      </x:c>
    </x:row>
    <x:row r="46" ht="46" customHeight="1">
      <x:c r="A46" s="14" t="str">
        <x:v>318 W MILL ST, MILLSTADT, IL 62260
Parcel 12-09.0-217-001</x:v>
      </x:c>
      <x:c r="B46" s="15" t="n">
        <x:v>51.5</x:v>
      </x:c>
      <x:c r="C46" s="15" t="n">
        <x:v>171.66</x:v>
      </x:c>
      <x:c r="D46" s="13" t="n">
        <x:f>ROUND(C46-B46,2)</x:f>
        <x:v>120.16</x:v>
      </x:c>
    </x:row>
    <x:row r="47" ht="46" customHeight="1">
      <x:c r="A47" s="9" t="str">
        <x:v>318 W MILL ST, MILLSTADT, IL 62260
Parcel 12-09.0-217-014</x:v>
      </x:c>
      <x:c r="B47" s="11" t="n">
        <x:v>1.13</x:v>
      </x:c>
      <x:c r="C47" s="11" t="n">
        <x:v>3.78</x:v>
      </x:c>
      <x:c r="D47" s="13" t="n">
        <x:f>ROUND(C47-B47,2)</x:f>
        <x:v>2.65</x:v>
      </x:c>
    </x:row>
    <x:row r="48" ht="46" customHeight="1">
      <x:c r="A48" s="14" t="str">
        <x:v>401 W MILL ST, MILLSTADT, IL 62260
Parcel 12-09.0-205-017</x:v>
      </x:c>
      <x:c r="B48" s="15" t="n">
        <x:v>68.49</x:v>
      </x:c>
      <x:c r="C48" s="15" t="n">
        <x:v>228.3</x:v>
      </x:c>
      <x:c r="D48" s="13" t="n">
        <x:f>ROUND(C48-B48,2)</x:f>
        <x:v>159.81</x:v>
      </x:c>
    </x:row>
    <x:row r="49" ht="46" customHeight="1">
      <x:c r="A49" s="9" t="str">
        <x:v>109 W WASHINGTON ST, MILLSTADT, IL 62260
Parcel 12-09.0-219-014</x:v>
      </x:c>
      <x:c r="B49" s="11" t="n">
        <x:v>11.69</x:v>
      </x:c>
      <x:c r="C49" s="11" t="n">
        <x:v>38.96</x:v>
      </x:c>
      <x:c r="D49" s="13" t="n">
        <x:f>ROUND(C49-B49,2)</x:f>
        <x:v>27.27</x:v>
      </x:c>
    </x:row>
  </x:sheetData>
  <x:sheetProtection algorithmName="SHA-512" hashValue="aCkB5AHcR9Qpkq8CHbC4oB9+uYk9qGcBEzsZZhWylkF0ERyLzBH9m33CNhBhq19nChB9y6Qa7FaIk4sVHvfRww==" saltValue="9TConQxEftVUvm0HFjEDZg==" spinCount="100000" sheet="1" objects="1" scenarios="1"/>
  <x:pageMargins left="0.7" right="0.7" top="0.75" bottom="0.75" header="0.3" footer="0.3"/>
</x:worksheet>
</file>