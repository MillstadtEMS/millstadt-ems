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a3ac2920894fda" /></Relationships>
</file>

<file path=xl/workbook.xml><?xml version="1.0" encoding="utf-8"?>
<x:workbook xmlns:x="http://schemas.openxmlformats.org/spreadsheetml/2006/main">
  <x:workbookProtection workbookAlgorithmName="SHA-512" workbookHashValue="xicx425FUucmFAel/aKTCLxb7wUoxI6eB3yYtVEk5Z7ed+q0GrI9FiqG7JjLxWdiJPnQeeulKNXMcTjbKuXBew==" workbookSaltValue="9tH/B50lnIjH17R+KO3Ivg==" workbookSpinCount="100000" lockStructure="1"/>
  <x:sheets>
    <x:sheet xmlns:r="http://schemas.openxmlformats.org/officeDocument/2006/relationships" name="Annual EMS taxes" sheetId="1" r:id="R3acbddeab0e24e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0c6cc31e654793" /><Relationship Type="http://schemas.openxmlformats.org/officeDocument/2006/relationships/theme" Target="/xl/theme/theme1.xml" Id="Ra974ab2778df4048" /><Relationship Type="http://schemas.openxmlformats.org/officeDocument/2006/relationships/sharedStrings" Target="/xl/sharedStrings.xml" Id="R4cbda660cd4e4867" /><Relationship Type="http://schemas.openxmlformats.org/officeDocument/2006/relationships/worksheet" Target="/xl/worksheets/sheet1.xml" Id="R3acbddeab0e24e5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STOOKEY TWP SEC 35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4199 BOYD RD, BELLEVILLE, IL 62223
Parcel 07-35.0-200-029</x:v>
      </x:c>
      <x:c r="B7" s="11" t="n">
        <x:v>107.69</x:v>
      </x:c>
      <x:c r="C7" s="11" t="n">
        <x:v>358.95</x:v>
      </x:c>
      <x:c r="D7" s="13" t="n">
        <x:f>ROUND(C7-B7,2)</x:f>
        <x:v>251.26</x:v>
      </x:c>
    </x:row>
    <x:row r="8" ht="46" customHeight="1">
      <x:c r="A8" s="14" t="str">
        <x:v>8040 CONCORDIA CHURCH R D, BELLEVILLE, IL 62223</x:v>
      </x:c>
      <x:c r="B8" s="15" t="n">
        <x:v>5.35</x:v>
      </x:c>
      <x:c r="C8" s="15" t="n">
        <x:v>17.84</x:v>
      </x:c>
      <x:c r="D8" s="13" t="n">
        <x:f>ROUND(C8-B8,2)</x:f>
        <x:v>12.49</x:v>
      </x:c>
    </x:row>
    <x:row r="9" ht="46" customHeight="1">
      <x:c r="A9" s="9" t="str">
        <x:v>7210 CONCORDIA RD, BELLEVILLE, IL 62223</x:v>
      </x:c>
      <x:c r="B9" s="11" t="n">
        <x:v>24.64</x:v>
      </x:c>
      <x:c r="C9" s="11" t="n">
        <x:v>82.15</x:v>
      </x:c>
      <x:c r="D9" s="13" t="n">
        <x:f>ROUND(C9-B9,2)</x:f>
        <x:v>57.51</x:v>
      </x:c>
    </x:row>
    <x:row r="10" ht="46" customHeight="1">
      <x:c r="A10" s="14" t="str">
        <x:v>7236 CONCORDIA RD, BELLEVILLE, IL 62223</x:v>
      </x:c>
      <x:c r="B10" s="15" t="n">
        <x:v>1.3</x:v>
      </x:c>
      <x:c r="C10" s="15" t="n">
        <x:v>4.33</x:v>
      </x:c>
      <x:c r="D10" s="13" t="n">
        <x:f>ROUND(C10-B10,2)</x:f>
        <x:v>3.03</x:v>
      </x:c>
    </x:row>
    <x:row r="11" ht="46" customHeight="1">
      <x:c r="A11" s="9" t="str">
        <x:v>7264 CONCORDIA RD, BELLEVILLE, IL 62223</x:v>
      </x:c>
      <x:c r="B11" s="11" t="n">
        <x:v>125.25</x:v>
      </x:c>
      <x:c r="C11" s="11" t="n">
        <x:v>417.49</x:v>
      </x:c>
      <x:c r="D11" s="13" t="n">
        <x:f>ROUND(C11-B11,2)</x:f>
        <x:v>292.24</x:v>
      </x:c>
    </x:row>
    <x:row r="12" ht="46" customHeight="1">
      <x:c r="A12" s="14" t="str">
        <x:v>7284 CONCORDIA RD, BELLEVILLE, IL 62223</x:v>
      </x:c>
      <x:c r="B12" s="15" t="n">
        <x:v>76.33</x:v>
      </x:c>
      <x:c r="C12" s="15" t="n">
        <x:v>254.43</x:v>
      </x:c>
      <x:c r="D12" s="13" t="n">
        <x:f>ROUND(C12-B12,2)</x:f>
        <x:v>178.1</x:v>
      </x:c>
    </x:row>
    <x:row r="13" ht="46" customHeight="1">
      <x:c r="A13" s="9" t="str">
        <x:v>7298 CONCORDIA RD, BELLEVILLE, IL 62223</x:v>
      </x:c>
      <x:c r="B13" s="11" t="n">
        <x:v>21.46</x:v>
      </x:c>
      <x:c r="C13" s="11" t="n">
        <x:v>71.54</x:v>
      </x:c>
      <x:c r="D13" s="13" t="n">
        <x:f>ROUND(C13-B13,2)</x:f>
        <x:v>50.08</x:v>
      </x:c>
    </x:row>
    <x:row r="14" ht="46" customHeight="1">
      <x:c r="A14" s="14" t="str">
        <x:v>7300 CONCORDIA RD, BELLEVILLE, IL 62223</x:v>
      </x:c>
      <x:c r="B14" s="15" t="n">
        <x:v>0</x:v>
      </x:c>
      <x:c r="C14" s="15" t="n">
        <x:v>0</x:v>
      </x:c>
      <x:c r="D14" s="13" t="n">
        <x:f>ROUND(C14-B14,2)</x:f>
        <x:v>0</x:v>
      </x:c>
    </x:row>
    <x:row r="15" ht="46" customHeight="1">
      <x:c r="A15" s="9" t="str">
        <x:v>7312 CONCORDIA RD, BELLEVILLE, IL 62223</x:v>
      </x:c>
      <x:c r="B15" s="11" t="n">
        <x:v>54.36</x:v>
      </x:c>
      <x:c r="C15" s="11" t="n">
        <x:v>181.2</x:v>
      </x:c>
      <x:c r="D15" s="13" t="n">
        <x:f>ROUND(C15-B15,2)</x:f>
        <x:v>126.84</x:v>
      </x:c>
    </x:row>
    <x:row r="16" ht="46" customHeight="1">
      <x:c r="A16" s="14" t="str">
        <x:v>7400 CONCORDIA RD, BELLEVILLE, IL 62223</x:v>
      </x:c>
      <x:c r="B16" s="15" t="n">
        <x:v>19.87</x:v>
      </x:c>
      <x:c r="C16" s="15" t="n">
        <x:v>66.25</x:v>
      </x:c>
      <x:c r="D16" s="13" t="n">
        <x:f>ROUND(C16-B16,2)</x:f>
        <x:v>46.38</x:v>
      </x:c>
    </x:row>
    <x:row r="17" ht="46" customHeight="1">
      <x:c r="A17" s="9" t="str">
        <x:v>6952 MINE HAUL RD, BELLEVILLE, IL 62221</x:v>
      </x:c>
      <x:c r="B17" s="11" t="n">
        <x:v>97.64</x:v>
      </x:c>
      <x:c r="C17" s="11" t="n">
        <x:v>325.46</x:v>
      </x:c>
      <x:c r="D17" s="13" t="n">
        <x:f>ROUND(C17-B17,2)</x:f>
        <x:v>227.82</x:v>
      </x:c>
    </x:row>
    <x:row r="18" ht="46" customHeight="1">
      <x:c r="A18" s="14" t="str">
        <x:v>7016 MINE HAUL RD, BELLEVILLE, IL 62223
Parcel 07-35.0-400-043</x:v>
      </x:c>
      <x:c r="B18" s="15" t="n">
        <x:v>110.4</x:v>
      </x:c>
      <x:c r="C18" s="15" t="n">
        <x:v>368.02</x:v>
      </x:c>
      <x:c r="D18" s="13" t="n">
        <x:f>ROUND(C18-B18,2)</x:f>
        <x:v>257.62</x:v>
      </x:c>
    </x:row>
    <x:row r="19" ht="46" customHeight="1">
      <x:c r="A19" s="9" t="str">
        <x:v>7022 MINE HAUL RD, BELLEVILLE, IL 62223
Parcel 07-35.0-400-042</x:v>
      </x:c>
      <x:c r="B19" s="11" t="n">
        <x:v>0.46</x:v>
      </x:c>
      <x:c r="C19" s="11" t="n">
        <x:v>1.52</x:v>
      </x:c>
      <x:c r="D19" s="13" t="n">
        <x:f>ROUND(C19-B19,2)</x:f>
        <x:v>1.06</x:v>
      </x:c>
    </x:row>
    <x:row r="20" ht="46" customHeight="1">
      <x:c r="A20" s="14" t="str">
        <x:v>7042 MINE HAUL RD, BELLEVILLE, IL 62223</x:v>
      </x:c>
      <x:c r="B20" s="15" t="n">
        <x:v>94.57</x:v>
      </x:c>
      <x:c r="C20" s="15" t="n">
        <x:v>315.23</x:v>
      </x:c>
      <x:c r="D20" s="13" t="n">
        <x:f>ROUND(C20-B20,2)</x:f>
        <x:v>220.66</x:v>
      </x:c>
    </x:row>
    <x:row r="21" ht="46" customHeight="1">
      <x:c r="A21" s="9" t="str">
        <x:v>7205 MINE HAUL RD, BELLEVILLE, IL 62223</x:v>
      </x:c>
      <x:c r="B21" s="11" t="n">
        <x:v>37.34</x:v>
      </x:c>
      <x:c r="C21" s="11" t="n">
        <x:v>124.46</x:v>
      </x:c>
      <x:c r="D21" s="13" t="n">
        <x:f>ROUND(C21-B21,2)</x:f>
        <x:v>87.12</x:v>
      </x:c>
    </x:row>
    <x:row r="22" ht="46" customHeight="1">
      <x:c r="A22" s="14" t="str">
        <x:v>7215 MINE HAUL RD, BELLEVILLE, IL 62223</x:v>
      </x:c>
      <x:c r="B22" s="15" t="n">
        <x:v>87.77</x:v>
      </x:c>
      <x:c r="C22" s="15" t="n">
        <x:v>292.56</x:v>
      </x:c>
      <x:c r="D22" s="13" t="n">
        <x:f>ROUND(C22-B22,2)</x:f>
        <x:v>204.79</x:v>
      </x:c>
    </x:row>
    <x:row r="23" ht="46" customHeight="1">
      <x:c r="A23" s="9" t="str">
        <x:v>7225 MINE HAUL RD, BELLEVILLE, IL 62223</x:v>
      </x:c>
      <x:c r="B23" s="11" t="n">
        <x:v>87.51</x:v>
      </x:c>
      <x:c r="C23" s="11" t="n">
        <x:v>291.7</x:v>
      </x:c>
      <x:c r="D23" s="13" t="n">
        <x:f>ROUND(C23-B23,2)</x:f>
        <x:v>204.19</x:v>
      </x:c>
    </x:row>
    <x:row r="24" ht="46" customHeight="1">
      <x:c r="A24" s="14" t="str">
        <x:v>157 PECAN LN, BELLEVILLE, IL 62223</x:v>
      </x:c>
      <x:c r="B24" s="15" t="n">
        <x:v>117.19</x:v>
      </x:c>
      <x:c r="C24" s="15" t="n">
        <x:v>390.62</x:v>
      </x:c>
      <x:c r="D24" s="13" t="n">
        <x:f>ROUND(C24-B24,2)</x:f>
        <x:v>273.43</x:v>
      </x:c>
    </x:row>
  </x:sheetData>
  <x:sheetProtection algorithmName="SHA-512" hashValue="xicx425FUucmFAel/aKTCLxb7wUoxI6eB3yYtVEk5Z7ed+q0GrI9FiqG7JjLxWdiJPnQeeulKNXMcTjbKuXBew==" saltValue="9tH/B50lnIjH17R+KO3Ivg==" spinCount="100000" sheet="1" objects="1" scenarios="1"/>
  <x:pageMargins left="0.7" right="0.7" top="0.75" bottom="0.75" header="0.3" footer="0.3"/>
</x:worksheet>
</file>