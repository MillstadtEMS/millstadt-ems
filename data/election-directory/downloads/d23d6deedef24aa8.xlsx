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f1dba955148d4" /></Relationships>
</file>

<file path=xl/workbook.xml><?xml version="1.0" encoding="utf-8"?>
<x:workbook xmlns:x="http://schemas.openxmlformats.org/spreadsheetml/2006/main">
  <x:workbookProtection workbookAlgorithmName="SHA-512" workbookHashValue="zMctDJeUkCO/aGr4MmXcJfZT1LWljcHc2KYzenebpWoLdXr2Uz72PleTUBqCJ974VWa5dT/iTN/zFISACq+3OA==" workbookSaltValue="y2XVBK+9HjSVwvFpAeoDog==" workbookSpinCount="100000" lockStructure="1"/>
  <x:sheets>
    <x:sheet xmlns:r="http://schemas.openxmlformats.org/officeDocument/2006/relationships" name="Annual EMS taxes" sheetId="1" r:id="R4640831af2f5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5fb240f0f4f94" /><Relationship Type="http://schemas.openxmlformats.org/officeDocument/2006/relationships/theme" Target="/xl/theme/theme1.xml" Id="R837417a40edc41a0" /><Relationship Type="http://schemas.openxmlformats.org/officeDocument/2006/relationships/sharedStrings" Target="/xl/sharedStrings.xml" Id="R2cb106abc9284254" /><Relationship Type="http://schemas.openxmlformats.org/officeDocument/2006/relationships/worksheet" Target="/xl/worksheets/sheet1.xml" Id="R4640831af2f5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 CAROUSEL LN, BELLEVILLE, IL 62223</x:v>
      </x:c>
      <x:c r="B7" s="11" t="n">
        <x:v>109.39</x:v>
      </x:c>
      <x:c r="C7" s="11" t="n">
        <x:v>364.65</x:v>
      </x:c>
      <x:c r="D7" s="13" t="n">
        <x:f>ROUND(C7-B7,2)</x:f>
        <x:v>255.26</x:v>
      </x:c>
    </x:row>
    <x:row r="8" ht="46" customHeight="1">
      <x:c r="A8" s="14" t="str">
        <x:v>4775 CENTERVILLE AVE,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3709 CENTREVILLE AVE, BELLEVILLE, IL 62223
Parcel 12-01.0-200-034</x:v>
      </x:c>
      <x:c r="B9" s="11" t="n">
        <x:v>5.32</x:v>
      </x:c>
      <x:c r="C9" s="11" t="n">
        <x:v>17.73</x:v>
      </x:c>
      <x:c r="D9" s="13" t="n">
        <x:f>ROUND(C9-B9,2)</x:f>
        <x:v>12.41</x:v>
      </x:c>
    </x:row>
    <x:row r="10" ht="46" customHeight="1">
      <x:c r="A10" s="14" t="str">
        <x:v>3709 CENTREVILLE AVE, BELLEVILLE, IL 62223
Parcel 12-01.0-200-035</x:v>
      </x:c>
      <x:c r="B10" s="15" t="n">
        <x:v>18.42</x:v>
      </x:c>
      <x:c r="C10" s="15" t="n">
        <x:v>61.41</x:v>
      </x:c>
      <x:c r="D10" s="13" t="n">
        <x:f>ROUND(C10-B10,2)</x:f>
        <x:v>42.99</x:v>
      </x:c>
    </x:row>
    <x:row r="11" ht="46" customHeight="1">
      <x:c r="A11" s="9" t="str">
        <x:v>3901 CENTREVILLE AVE, BELLEVILLE, IL 62223</x:v>
      </x:c>
      <x:c r="B11" s="11" t="n">
        <x:v>54.93</x:v>
      </x:c>
      <x:c r="C11" s="11" t="n">
        <x:v>183.08</x:v>
      </x:c>
      <x:c r="D11" s="13" t="n">
        <x:f>ROUND(C11-B11,2)</x:f>
        <x:v>128.15</x:v>
      </x:c>
    </x:row>
    <x:row r="12" ht="46" customHeight="1">
      <x:c r="A12" s="14" t="str">
        <x:v>3936 CENTREVILLE AVE, BELLEVILLE, IL 62223</x:v>
      </x:c>
      <x:c r="B12" s="15" t="n">
        <x:v>72.57</x:v>
      </x:c>
      <x:c r="C12" s="15" t="n">
        <x:v>241.89</x:v>
      </x:c>
      <x:c r="D12" s="13" t="n">
        <x:f>ROUND(C12-B12,2)</x:f>
        <x:v>169.32</x:v>
      </x:c>
    </x:row>
    <x:row r="13" ht="46" customHeight="1">
      <x:c r="A13" s="9" t="str">
        <x:v>3940 CENTREVILLE AVE, BELLEVILLE, IL 62223</x:v>
      </x:c>
      <x:c r="B13" s="11" t="n">
        <x:v>28.05</x:v>
      </x:c>
      <x:c r="C13" s="11" t="n">
        <x:v>93.49</x:v>
      </x:c>
      <x:c r="D13" s="13" t="n">
        <x:f>ROUND(C13-B13,2)</x:f>
        <x:v>65.44</x:v>
      </x:c>
    </x:row>
    <x:row r="14" ht="46" customHeight="1">
      <x:c r="A14" s="14" t="str">
        <x:v>4000 CENTREVILLE AVE, BELLEVILLE, IL 62223
Parcel 12-01.0-200-008</x:v>
      </x:c>
      <x:c r="B14" s="15" t="n">
        <x:v>58.16</x:v>
      </x:c>
      <x:c r="C14" s="15" t="n">
        <x:v>193.86</x:v>
      </x:c>
      <x:c r="D14" s="13" t="n">
        <x:f>ROUND(C14-B14,2)</x:f>
        <x:v>135.7</x:v>
      </x:c>
    </x:row>
    <x:row r="15" ht="46" customHeight="1">
      <x:c r="A15" s="9" t="str">
        <x:v>4000 CENTREVILLE AVE, BELLEVILLE, IL 62223
Parcel 12-01.0-200-009</x:v>
      </x:c>
      <x:c r="B15" s="11" t="n">
        <x:v>4.05</x:v>
      </x:c>
      <x:c r="C15" s="11" t="n">
        <x:v>13.51</x:v>
      </x:c>
      <x:c r="D15" s="13" t="n">
        <x:f>ROUND(C15-B15,2)</x:f>
        <x:v>9.46</x:v>
      </x:c>
    </x:row>
    <x:row r="16" ht="46" customHeight="1">
      <x:c r="A16" s="14" t="str">
        <x:v>4100 CENTREVILLE AVE, BELLEVILLE, IL 62223</x:v>
      </x:c>
      <x:c r="B16" s="15" t="n">
        <x:v>50.74</x:v>
      </x:c>
      <x:c r="C16" s="15" t="n">
        <x:v>169.13</x:v>
      </x:c>
      <x:c r="D16" s="13" t="n">
        <x:f>ROUND(C16-B16,2)</x:f>
        <x:v>118.39</x:v>
      </x:c>
    </x:row>
    <x:row r="17" ht="46" customHeight="1">
      <x:c r="A17" s="9" t="str">
        <x:v>4101 CENTREVILLE AVE, BELLEVILLE, IL 62223</x:v>
      </x:c>
      <x:c r="B17" s="11" t="n">
        <x:v>48.94</x:v>
      </x:c>
      <x:c r="C17" s="11" t="n">
        <x:v>163.12</x:v>
      </x:c>
      <x:c r="D17" s="13" t="n">
        <x:f>ROUND(C17-B17,2)</x:f>
        <x:v>114.18</x:v>
      </x:c>
    </x:row>
    <x:row r="18" ht="46" customHeight="1">
      <x:c r="A18" s="14" t="str">
        <x:v>4205 CENTREVILLE AVE, BELLEVILLE, IL 62223</x:v>
      </x:c>
      <x:c r="B18" s="15" t="n">
        <x:v>29.69</x:v>
      </x:c>
      <x:c r="C18" s="15" t="n">
        <x:v>98.96</x:v>
      </x:c>
      <x:c r="D18" s="13" t="n">
        <x:f>ROUND(C18-B18,2)</x:f>
        <x:v>69.27</x:v>
      </x:c>
    </x:row>
    <x:row r="19" ht="46" customHeight="1">
      <x:c r="A19" s="9" t="str">
        <x:v>4255 CENTREVILLE AVE, BELLEVILLE, IL 62223
Parcel 12-01.0-200-032</x:v>
      </x:c>
      <x:c r="B19" s="11" t="n">
        <x:v>0.91</x:v>
      </x:c>
      <x:c r="C19" s="11" t="n">
        <x:v>3.02</x:v>
      </x:c>
      <x:c r="D19" s="13" t="n">
        <x:f>ROUND(C19-B19,2)</x:f>
        <x:v>2.11</x:v>
      </x:c>
    </x:row>
    <x:row r="20" ht="46" customHeight="1">
      <x:c r="A20" s="14" t="str">
        <x:v>4255 CENTREVILLE AVE, BELLEVILLE, IL 62223
Parcel 12-01.4-200-001</x:v>
      </x:c>
      <x:c r="B20" s="15" t="n">
        <x:v>288.06</x:v>
      </x:c>
      <x:c r="C20" s="15" t="n">
        <x:v>960.2</x:v>
      </x:c>
      <x:c r="D20" s="13" t="n">
        <x:f>ROUND(C20-B20,2)</x:f>
        <x:v>672.14</x:v>
      </x:c>
    </x:row>
    <x:row r="21" ht="46" customHeight="1">
      <x:c r="A21" s="9" t="str">
        <x:v>4543 CENTREVILLE AVE, BELLEVILLE, IL 62223</x:v>
      </x:c>
      <x:c r="B21" s="11" t="n">
        <x:v>14.72</x:v>
      </x:c>
      <x:c r="C21" s="11" t="n">
        <x:v>49.05</x:v>
      </x:c>
      <x:c r="D21" s="13" t="n">
        <x:f>ROUND(C21-B21,2)</x:f>
        <x:v>34.33</x:v>
      </x:c>
    </x:row>
    <x:row r="22" ht="46" customHeight="1">
      <x:c r="A22" s="14" t="str">
        <x:v>4544 CENTREVILLE AVE, MILLSTADT, IL 62260
Parcel 12-01.0-100-013</x:v>
      </x:c>
      <x:c r="B22" s="15" t="n">
        <x:v>63.14</x:v>
      </x:c>
      <x:c r="C22" s="15" t="n">
        <x:v>210.46</x:v>
      </x:c>
      <x:c r="D22" s="13" t="n">
        <x:f>ROUND(C22-B22,2)</x:f>
        <x:v>147.32</x:v>
      </x:c>
    </x:row>
    <x:row r="23" ht="46" customHeight="1">
      <x:c r="A23" s="9" t="str">
        <x:v>4544 CENTREVILLE AVE, MILLSTADT, IL 62260
Parcel 12-01.0-100-015</x:v>
      </x:c>
      <x:c r="B23" s="11" t="n">
        <x:v>6.94</x:v>
      </x:c>
      <x:c r="C23" s="11" t="n">
        <x:v>23.13</x:v>
      </x:c>
      <x:c r="D23" s="13" t="n">
        <x:f>ROUND(C23-B23,2)</x:f>
        <x:v>16.19</x:v>
      </x:c>
    </x:row>
    <x:row r="24" ht="46" customHeight="1">
      <x:c r="A24" s="14" t="str">
        <x:v>4600 CENTREVILLE AVE, MILLSTADT, IL 62260</x:v>
      </x:c>
      <x:c r="B24" s="15" t="n">
        <x:v>50.86</x:v>
      </x:c>
      <x:c r="C24" s="15" t="n">
        <x:v>169.54</x:v>
      </x:c>
      <x:c r="D24" s="13" t="n">
        <x:f>ROUND(C24-B24,2)</x:f>
        <x:v>118.68</x:v>
      </x:c>
    </x:row>
    <x:row r="25" ht="46" customHeight="1">
      <x:c r="A25" s="9" t="str">
        <x:v>4601 CENTREVILLE AVE, BELLEVILLE, IL 62223</x:v>
      </x:c>
      <x:c r="B25" s="11" t="n">
        <x:v>101.74</x:v>
      </x:c>
      <x:c r="C25" s="11" t="n">
        <x:v>339.12</x:v>
      </x:c>
      <x:c r="D25" s="13" t="n">
        <x:f>ROUND(C25-B25,2)</x:f>
        <x:v>237.38</x:v>
      </x:c>
    </x:row>
    <x:row r="26" ht="46" customHeight="1">
      <x:c r="A26" s="14" t="str">
        <x:v>4706 CENTREVILLE AVE, MILLSTADT, IL 62260</x:v>
      </x:c>
      <x:c r="B26" s="15" t="n">
        <x:v>56.55</x:v>
      </x:c>
      <x:c r="C26" s="15" t="n">
        <x:v>188.5</x:v>
      </x:c>
      <x:c r="D26" s="13" t="n">
        <x:f>ROUND(C26-B26,2)</x:f>
        <x:v>131.95</x:v>
      </x:c>
    </x:row>
    <x:row r="27" ht="46" customHeight="1">
      <x:c r="A27" s="9" t="str">
        <x:v>4730 CENTREVILLE AVE, MILLSTADT, IL 62260</x:v>
      </x:c>
      <x:c r="B27" s="11" t="n">
        <x:v>52.8</x:v>
      </x:c>
      <x:c r="C27" s="11" t="n">
        <x:v>176</x:v>
      </x:c>
      <x:c r="D27" s="13" t="n">
        <x:f>ROUND(C27-B27,2)</x:f>
        <x:v>123.2</x:v>
      </x:c>
    </x:row>
    <x:row r="28" ht="46" customHeight="1">
      <x:c r="A28" s="14" t="str">
        <x:v>4747 CENTREVILLE AVE, MILLSTADT, IL 62260</x:v>
      </x:c>
      <x:c r="B28" s="15" t="n">
        <x:v>0</x:v>
      </x:c>
      <x:c r="C28" s="15" t="n">
        <x:v>0</x:v>
      </x:c>
      <x:c r="D28" s="13" t="n">
        <x:f>ROUND(C28-B28,2)</x:f>
        <x:v>0</x:v>
      </x:c>
    </x:row>
    <x:row r="29" ht="46" customHeight="1">
      <x:c r="A29" s="9" t="str">
        <x:v>4802 CENTREVILLE AVE, MILLSTADT, IL 62260
Parcel 12-01.0-300-009</x:v>
      </x:c>
      <x:c r="B29" s="11" t="n">
        <x:v>5.77</x:v>
      </x:c>
      <x:c r="C29" s="11" t="n">
        <x:v>19.24</x:v>
      </x:c>
      <x:c r="D29" s="13" t="n">
        <x:f>ROUND(C29-B29,2)</x:f>
        <x:v>13.47</x:v>
      </x:c>
    </x:row>
    <x:row r="30" ht="46" customHeight="1">
      <x:c r="A30" s="14" t="str">
        <x:v>4620 EYMAN RD, BELLEVILLE, IL 62223</x:v>
      </x:c>
      <x:c r="B30" s="15" t="n">
        <x:v>56.13</x:v>
      </x:c>
      <x:c r="C30" s="15" t="n">
        <x:v>187.11</x:v>
      </x:c>
      <x:c r="D30" s="13" t="n">
        <x:f>ROUND(C30-B30,2)</x:f>
        <x:v>130.98</x:v>
      </x:c>
    </x:row>
    <x:row r="31" ht="46" customHeight="1">
      <x:c r="A31" s="9" t="str">
        <x:v>4621 EYMAN RD, BELLEVILLE, IL 62223</x:v>
      </x:c>
      <x:c r="B31" s="11" t="n">
        <x:v>155.16</x:v>
      </x:c>
      <x:c r="C31" s="11" t="n">
        <x:v>517.19</x:v>
      </x:c>
      <x:c r="D31" s="13" t="n">
        <x:f>ROUND(C31-B31,2)</x:f>
        <x:v>362.03</x:v>
      </x:c>
    </x:row>
    <x:row r="32" ht="46" customHeight="1">
      <x:c r="A32" s="14" t="str">
        <x:v>4680 EYMAN RD, BELLEVILLE, IL 62223</x:v>
      </x:c>
      <x:c r="B32" s="15" t="n">
        <x:v>106.06</x:v>
      </x:c>
      <x:c r="C32" s="15" t="n">
        <x:v>353.54</x:v>
      </x:c>
      <x:c r="D32" s="13" t="n">
        <x:f>ROUND(C32-B32,2)</x:f>
        <x:v>247.48</x:v>
      </x:c>
    </x:row>
    <x:row r="33" ht="46" customHeight="1">
      <x:c r="A33" s="9" t="str">
        <x:v>4709 EYMAN RD, BELLEVILLE, IL 62223</x:v>
      </x:c>
      <x:c r="B33" s="11" t="n">
        <x:v>117.8</x:v>
      </x:c>
      <x:c r="C33" s="11" t="n">
        <x:v>392.67</x:v>
      </x:c>
      <x:c r="D33" s="13" t="n">
        <x:f>ROUND(C33-B33,2)</x:f>
        <x:v>274.87</x:v>
      </x:c>
    </x:row>
    <x:row r="34" ht="46" customHeight="1">
      <x:c r="A34" s="14" t="str">
        <x:v>5361 FRANK SCOTT PKWY W, BELLEVILLE, IL 62223</x:v>
      </x:c>
      <x:c r="B34" s="15" t="n">
        <x:v>88.28</x:v>
      </x:c>
      <x:c r="C34" s="15" t="n">
        <x:v>294.26</x:v>
      </x:c>
      <x:c r="D34" s="13" t="n">
        <x:f>ROUND(C34-B34,2)</x:f>
        <x:v>205.98</x:v>
      </x:c>
    </x:row>
    <x:row r="35" ht="46" customHeight="1">
      <x:c r="A35" s="9" t="str">
        <x:v>6741 MINE HAUL RD, BELLEVILLE, IL 62223
Parcel 12-01.0-100-023</x:v>
      </x:c>
      <x:c r="B35" s="11" t="n">
        <x:v>10.1</x:v>
      </x:c>
      <x:c r="C35" s="11" t="n">
        <x:v>33.67</x:v>
      </x:c>
      <x:c r="D35" s="13" t="n">
        <x:f>ROUND(C35-B35,2)</x:f>
        <x:v>23.57</x:v>
      </x:c>
    </x:row>
    <x:row r="36" ht="46" customHeight="1">
      <x:c r="A36" s="14" t="str">
        <x:v>4631 PORTRAIT LN, MILLSTADT, IL 62260</x:v>
      </x:c>
      <x:c r="B36" s="15" t="n">
        <x:v>81.11</x:v>
      </x:c>
      <x:c r="C36" s="15" t="n">
        <x:v>270.36</x:v>
      </x:c>
      <x:c r="D36" s="13" t="n">
        <x:f>ROUND(C36-B36,2)</x:f>
        <x:v>189.25</x:v>
      </x:c>
    </x:row>
    <x:row r="37" ht="46" customHeight="1">
      <x:c r="A37" s="9" t="str">
        <x:v>4635 PORTRAIT LN, MILLSTADT, IL 62260</x:v>
      </x:c>
      <x:c r="B37" s="11" t="n">
        <x:v>110.53</x:v>
      </x:c>
      <x:c r="C37" s="11" t="n">
        <x:v>368.44</x:v>
      </x:c>
      <x:c r="D37" s="13" t="n">
        <x:f>ROUND(C37-B37,2)</x:f>
        <x:v>257.91</x:v>
      </x:c>
    </x:row>
    <x:row r="38" ht="46" customHeight="1">
      <x:c r="A38" s="14" t="str">
        <x:v>6845 ROACHTOWN RD, MILLSTADT, IL 62260</x:v>
      </x:c>
      <x:c r="B38" s="15" t="n">
        <x:v>66.76</x:v>
      </x:c>
      <x:c r="C38" s="15" t="n">
        <x:v>222.54</x:v>
      </x:c>
      <x:c r="D38" s="13" t="n">
        <x:f>ROUND(C38-B38,2)</x:f>
        <x:v>155.78</x:v>
      </x:c>
    </x:row>
    <x:row r="39" ht="46" customHeight="1">
      <x:c r="A39" s="9" t="str">
        <x:v>6904 ROACHTOWN RD, MILLSTADT, IL 62260</x:v>
      </x:c>
      <x:c r="B39" s="11" t="n">
        <x:v>57.41</x:v>
      </x:c>
      <x:c r="C39" s="11" t="n">
        <x:v>191.36</x:v>
      </x:c>
      <x:c r="D39" s="13" t="n">
        <x:f>ROUND(C39-B39,2)</x:f>
        <x:v>133.95</x:v>
      </x:c>
    </x:row>
    <x:row r="40" ht="46" customHeight="1">
      <x:c r="A40" s="14" t="str">
        <x:v>6906 ROACHTOWN RD, MILLSTADT, IL 62260</x:v>
      </x:c>
      <x:c r="B40" s="15" t="n">
        <x:v>1.16</x:v>
      </x:c>
      <x:c r="C40" s="15" t="n">
        <x:v>3.87</x:v>
      </x:c>
      <x:c r="D40" s="13" t="n">
        <x:f>ROUND(C40-B40,2)</x:f>
        <x:v>2.71</x:v>
      </x:c>
    </x:row>
    <x:row r="41" ht="46" customHeight="1">
      <x:c r="A41" s="9" t="str">
        <x:v>6908 ROACHTOWN RD, MILLSTADT, IL 62260</x:v>
      </x:c>
      <x:c r="B41" s="11" t="n">
        <x:v>29.52</x:v>
      </x:c>
      <x:c r="C41" s="11" t="n">
        <x:v>98.39</x:v>
      </x:c>
      <x:c r="D41" s="13" t="n">
        <x:f>ROUND(C41-B41,2)</x:f>
        <x:v>68.87</x:v>
      </x:c>
    </x:row>
    <x:row r="42" ht="46" customHeight="1">
      <x:c r="A42" s="14" t="str">
        <x:v>6916 ROACHTOWN RD, MILLSTADT, IL 62260</x:v>
      </x:c>
      <x:c r="B42" s="15" t="n">
        <x:v>53.99</x:v>
      </x:c>
      <x:c r="C42" s="15" t="n">
        <x:v>179.96</x:v>
      </x:c>
      <x:c r="D42" s="13" t="n">
        <x:f>ROUND(C42-B42,2)</x:f>
        <x:v>125.97</x:v>
      </x:c>
    </x:row>
    <x:row r="43" ht="46" customHeight="1">
      <x:c r="A43" s="9" t="str">
        <x:v>6938 ROACHTOWN RD, MILLSTADT, IL 62260</x:v>
      </x:c>
      <x:c r="B43" s="11" t="n">
        <x:v>21.38</x:v>
      </x:c>
      <x:c r="C43" s="11" t="n">
        <x:v>71.26</x:v>
      </x:c>
      <x:c r="D43" s="13" t="n">
        <x:f>ROUND(C43-B43,2)</x:f>
        <x:v>49.88</x:v>
      </x:c>
    </x:row>
    <x:row r="44" ht="46" customHeight="1">
      <x:c r="A44" s="14" t="str">
        <x:v>6942 ROACHTOWN RD, MILLSTADT, IL 62260</x:v>
      </x:c>
      <x:c r="B44" s="15" t="n">
        <x:v>61.78</x:v>
      </x:c>
      <x:c r="C44" s="15" t="n">
        <x:v>205.94</x:v>
      </x:c>
      <x:c r="D44" s="13" t="n">
        <x:f>ROUND(C44-B44,2)</x:f>
        <x:v>144.16</x:v>
      </x:c>
    </x:row>
    <x:row r="45" ht="46" customHeight="1">
      <x:c r="A45" s="9" t="str">
        <x:v>6954 ROACHTOWN RD, MILLSTADT, IL 62260</x:v>
      </x:c>
      <x:c r="B45" s="11" t="n">
        <x:v>99.8</x:v>
      </x:c>
      <x:c r="C45" s="11" t="n">
        <x:v>332.68</x:v>
      </x:c>
      <x:c r="D45" s="13" t="n">
        <x:f>ROUND(C45-B45,2)</x:f>
        <x:v>232.88</x:v>
      </x:c>
    </x:row>
  </x:sheetData>
  <x:sheetProtection algorithmName="SHA-512" hashValue="zMctDJeUkCO/aGr4MmXcJfZT1LWljcHc2KYzenebpWoLdXr2Uz72PleTUBqCJ974VWa5dT/iTN/zFISACq+3OA==" saltValue="y2XVBK+9HjSVwvFpAeoDog==" spinCount="100000" sheet="1" objects="1" scenarios="1"/>
  <x:pageMargins left="0.7" right="0.7" top="0.75" bottom="0.75" header="0.3" footer="0.3"/>
</x:worksheet>
</file>