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600567da1b4879" /></Relationships>
</file>

<file path=xl/workbook.xml><?xml version="1.0" encoding="utf-8"?>
<x:workbook xmlns:x="http://schemas.openxmlformats.org/spreadsheetml/2006/main">
  <x:workbookProtection workbookAlgorithmName="SHA-512" workbookHashValue="IJ/4zwKLRBl376ULQs1lJUkt0C3aqixTBxPi2ketxVhfSSY5CFmH+My3fzF2Vo5ftl48pV/AACpLGQH299bgmw==" workbookSaltValue="oRFc6kH8t/18p+0lbHWydw==" workbookSpinCount="100000" lockStructure="1"/>
  <x:sheets>
    <x:sheet xmlns:r="http://schemas.openxmlformats.org/officeDocument/2006/relationships" name="Annual EMS taxes" sheetId="1" r:id="Re97b5cfb92f2478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$&quot;#,##0.00"/>
  </x:numFmts>
  <x:fonts count="6">
    <x:font>
      <x:sz val="11"/>
      <x:name val="Carlito"/>
    </x:font>
    <x:font>
      <x:sz val="11"/>
      <x:color rgb="FF172A43"/>
      <x:name val="Arial"/>
    </x:font>
    <x:font>
      <x:b/>
      <x:sz val="15"/>
      <x:color rgb="FF0A1E3D"/>
      <x:name val="Arial"/>
    </x:font>
    <x:font>
      <x:sz val="10"/>
      <x:color rgb="FF52647B"/>
      <x:name val="Arial"/>
    </x:font>
    <x:font>
      <x:b/>
      <x:sz val="11"/>
      <x:color rgb="FFFFFFFF"/>
      <x:name val="Arial"/>
    </x:font>
    <x:font>
      <x:b/>
      <x:sz val="11"/>
      <x:color rgb="FF172A43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0A1E3D"/>
      </x:patternFill>
    </x:fill>
    <x:fill>
      <x:patternFill patternType="solid">
        <x:fgColor rgb="FFFFF2CE"/>
      </x:patternFill>
    </x:fill>
    <x:fill>
      <x:patternFill patternType="solid">
        <x:fgColor rgb="FFF2F5F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 applyProtection="1">
      <x:protection locked="1" hidden="0"/>
    </x:xf>
    <x:xf numFmtId="0" fontId="1" fillId="0" borderId="0" xfId="0" applyNumberFormat="1" applyFont="1" applyFill="1" applyBorder="1" applyProtection="1">
      <x:protection locked="1" hidden="0"/>
    </x:xf>
    <x:xf numFmtId="0" fontId="1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 wrapText="1"/>
      <x:protection locked="1" hidden="0"/>
    </x:xf>
    <x:xf numFmtId="0" fontId="3" fillId="0" borderId="0" xfId="0" applyNumberFormat="1" applyFont="1" applyFill="1" applyBorder="1" applyAlignment="1" applyProtection="1">
      <x:alignment vertical="center"/>
      <x:protection locked="1" hidden="0"/>
    </x:xf>
    <x:xf numFmtId="0" fontId="1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horizontal="center" vertical="center"/>
      <x:protection locked="1" hidden="0"/>
    </x:xf>
    <x:xf numFmtId="0" fontId="1" fillId="0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0" borderId="0" xfId="0" applyNumberFormat="1" applyFont="1" applyFill="1" applyBorder="1" applyAlignment="1" applyProtection="1">
      <x:alignment vertical="center"/>
      <x:protection locked="1" hidden="0"/>
    </x:xf>
    <x:xf numFmtId="200" fontId="1" fillId="0" borderId="0" xfId="0" applyNumberFormat="1" applyFont="1" applyFill="1" applyBorder="1" applyAlignment="1" applyProtection="1">
      <x:alignment horizontal="right" vertical="center"/>
      <x:protection locked="1" hidden="0"/>
    </x:xf>
    <x:xf numFmtId="200" fontId="1" fillId="3" borderId="0" xfId="0" applyNumberFormat="1" applyFont="1" applyFill="1" applyBorder="1" applyAlignment="1" applyProtection="1">
      <x:alignment horizontal="right" vertical="center"/>
      <x:protection locked="1" hidden="0"/>
    </x:xf>
    <x:xf numFmtId="200" fontId="5" fillId="3" borderId="0" xfId="0" applyNumberFormat="1" applyFont="1" applyFill="1" applyBorder="1" applyAlignment="1" applyProtection="1">
      <x:alignment horizontal="right" vertical="center"/>
      <x:protection locked="1" hidden="0"/>
    </x:xf>
    <x:xf numFmtId="0" fontId="1" fillId="4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4" borderId="0" xfId="0" applyNumberFormat="1" applyFont="1" applyFill="1" applyBorder="1" applyAlignment="1" applyProtection="1">
      <x:alignment horizontal="right" vertical="center"/>
      <x:protection locked="1" hidden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34db31e38e7411e" /><Relationship Type="http://schemas.openxmlformats.org/officeDocument/2006/relationships/theme" Target="/xl/theme/theme1.xml" Id="Re9c4b3502c2b4608" /><Relationship Type="http://schemas.openxmlformats.org/officeDocument/2006/relationships/sharedStrings" Target="/xl/sharedStrings.xml" Id="R588c47c7e0f047ab" /><Relationship Type="http://schemas.openxmlformats.org/officeDocument/2006/relationships/worksheet" Target="/xl/worksheets/sheet1.xml" Id="Re97b5cfb92f2478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A1E3D"/>
  </x:sheetPr>
  <x:sheetViews>
    <x:sheetView showGridLines="0" workbookViewId="0"/>
  </x:sheetViews>
  <x:sheetFormatPr defaultRowHeight="15"/>
  <x:cols>
    <x:col min="1" max="1" width="57.779998779296875" hidden="0" customWidth="1"/>
    <x:col min="2" max="2" width="21.110000610351562" hidden="0" customWidth="1"/>
    <x:col min="3" max="3" width="21.110000610351562" hidden="0" customWidth="1"/>
    <x:col min="4" max="4" width="21.110000610351562" hidden="0" customWidth="1"/>
  </x:cols>
  <x:sheetData>
    <x:row r="1" ht="32" customHeight="1">
      <x:c r="A1" s="2"/>
      <x:c r="B1" s="2"/>
      <x:c r="C1" s="2"/>
      <x:c r="D1" s="2"/>
    </x:row>
    <x:row r="2" ht="30" customHeight="1">
      <x:c r="A2" s="4" t="str">
        <x:v>STOOKEY TWP SEC 20</x:v>
      </x:c>
      <x:c r="B2" s="2"/>
      <x:c r="C2" s="2"/>
      <x:c r="D2" s="2"/>
    </x:row>
    <x:row r="3" ht="32" customHeight="1">
      <x:c r="A3" s="5" t="str">
        <x:v>Millstadt EMS · Annual estimates using county 2025 taxable values</x:v>
      </x:c>
      <x:c r="B3" s="2"/>
      <x:c r="C3" s="2"/>
      <x:c r="D3" s="2"/>
    </x:row>
    <x:row r="4" ht="32" customHeight="1">
      <x:c r="A4" s="5" t="str">
        <x:v>Planned ESD rate: 0.30%. Baseline uses the existing ambulance levy offset.</x:v>
      </x:c>
      <x:c r="B4" s="2"/>
      <x:c r="C4" s="2"/>
      <x:c r="D4" s="2"/>
    </x:row>
    <x:row r="5" ht="32" customHeight="1">
      <x:c r="A5" s="2"/>
      <x:c r="B5" s="2"/>
      <x:c r="C5" s="2"/>
      <x:c r="D5" s="2"/>
    </x:row>
    <x:row r="6" ht="34" customHeight="1">
      <x:c r="A6" s="8" t="str">
        <x:v>Address</x:v>
      </x:c>
      <x:c r="B6" s="8" t="str">
        <x:v>Baseline EMS tax</x:v>
      </x:c>
      <x:c r="C6" s="8" t="str">
        <x:v>EMS tax at 0.30%</x:v>
      </x:c>
      <x:c r="D6" s="8" t="str">
        <x:v>Annual increase</x:v>
      </x:c>
    </x:row>
    <x:row r="7" ht="46" customHeight="1">
      <x:c r="A7" s="9" t="str">
        <x:v>2801 IMBS STATION RD, MILLSTADT, IL 62260</x:v>
      </x:c>
      <x:c r="B7" s="11" t="n">
        <x:v>79.3</x:v>
      </x:c>
      <x:c r="C7" s="11" t="n">
        <x:v>264.33</x:v>
      </x:c>
      <x:c r="D7" s="13" t="n">
        <x:f>ROUND(C7-B7,2)</x:f>
        <x:v>185.03</x:v>
      </x:c>
    </x:row>
    <x:row r="8" ht="46" customHeight="1">
      <x:c r="A8" s="14" t="str">
        <x:v>2802 IMBS STATION RD, MILLSTADT, IL 62260</x:v>
      </x:c>
      <x:c r="B8" s="15" t="n">
        <x:v>54.86</x:v>
      </x:c>
      <x:c r="C8" s="15" t="n">
        <x:v>182.86</x:v>
      </x:c>
      <x:c r="D8" s="13" t="n">
        <x:f>ROUND(C8-B8,2)</x:f>
        <x:v>128</x:v>
      </x:c>
    </x:row>
    <x:row r="9" ht="46" customHeight="1">
      <x:c r="A9" s="9" t="str">
        <x:v>2832 IMBS STATION RD, MILLSTADT, IL 62260</x:v>
      </x:c>
      <x:c r="B9" s="11" t="n">
        <x:v>68.38</x:v>
      </x:c>
      <x:c r="C9" s="11" t="n">
        <x:v>227.93</x:v>
      </x:c>
      <x:c r="D9" s="13" t="n">
        <x:f>ROUND(C9-B9,2)</x:f>
        <x:v>159.55</x:v>
      </x:c>
    </x:row>
    <x:row r="10" ht="46" customHeight="1">
      <x:c r="A10" s="14" t="str">
        <x:v>2980 IMBS STATION RD, MILLSTADT, IL 62260</x:v>
      </x:c>
      <x:c r="B10" s="15" t="n">
        <x:v>89.6</x:v>
      </x:c>
      <x:c r="C10" s="15" t="n">
        <x:v>298.67</x:v>
      </x:c>
      <x:c r="D10" s="13" t="n">
        <x:f>ROUND(C10-B10,2)</x:f>
        <x:v>209.07</x:v>
      </x:c>
    </x:row>
    <x:row r="11" ht="46" customHeight="1">
      <x:c r="A11" s="9" t="str">
        <x:v>2717 OTTEN RD, MILLSTADT, IL 62260</x:v>
      </x:c>
      <x:c r="B11" s="11" t="n">
        <x:v>83.85</x:v>
      </x:c>
      <x:c r="C11" s="11" t="n">
        <x:v>279.49</x:v>
      </x:c>
      <x:c r="D11" s="13" t="n">
        <x:f>ROUND(C11-B11,2)</x:f>
        <x:v>195.64</x:v>
      </x:c>
    </x:row>
    <x:row r="12" ht="46" customHeight="1">
      <x:c r="A12" s="14" t="str">
        <x:v>2741 OTTEN RD, MILLSTADT, IL 62260</x:v>
      </x:c>
      <x:c r="B12" s="15" t="n">
        <x:v>12.54</x:v>
      </x:c>
      <x:c r="C12" s="15" t="n">
        <x:v>41.79</x:v>
      </x:c>
      <x:c r="D12" s="13" t="n">
        <x:f>ROUND(C12-B12,2)</x:f>
        <x:v>29.25</x:v>
      </x:c>
    </x:row>
    <x:row r="13" ht="46" customHeight="1">
      <x:c r="A13" s="9" t="str">
        <x:v>2745 OTTEN RD, MILLSTADT, IL 62260
Parcel 07-20.0-300-003</x:v>
      </x:c>
      <x:c r="B13" s="11" t="n">
        <x:v>44.11</x:v>
      </x:c>
      <x:c r="C13" s="11" t="n">
        <x:v>147.03</x:v>
      </x:c>
      <x:c r="D13" s="13" t="n">
        <x:f>ROUND(C13-B13,2)</x:f>
        <x:v>102.92</x:v>
      </x:c>
    </x:row>
    <x:row r="14" ht="46" customHeight="1">
      <x:c r="A14" s="14" t="str">
        <x:v>8341 STATE RT 163, MILLSTADT, IL 62260</x:v>
      </x:c>
      <x:c r="B14" s="15" t="n">
        <x:v>11.5</x:v>
      </x:c>
      <x:c r="C14" s="15" t="n">
        <x:v>38.32</x:v>
      </x:c>
      <x:c r="D14" s="13" t="n">
        <x:f>ROUND(C14-B14,2)</x:f>
        <x:v>26.82</x:v>
      </x:c>
    </x:row>
    <x:row r="15" ht="46" customHeight="1">
      <x:c r="A15" s="9" t="str">
        <x:v>8337 STATE RTE 163, MILLSTADT, IL 62260
Parcel 07-20.0-200-017</x:v>
      </x:c>
      <x:c r="B15" s="11" t="n">
        <x:v>15.98</x:v>
      </x:c>
      <x:c r="C15" s="11" t="n">
        <x:v>53.26</x:v>
      </x:c>
      <x:c r="D15" s="13" t="n">
        <x:f>ROUND(C15-B15,2)</x:f>
        <x:v>37.28</x:v>
      </x:c>
    </x:row>
  </x:sheetData>
  <x:sheetProtection algorithmName="SHA-512" hashValue="IJ/4zwKLRBl376ULQs1lJUkt0C3aqixTBxPi2ketxVhfSSY5CFmH+My3fzF2Vo5ftl48pV/AACpLGQH299bgmw==" saltValue="oRFc6kH8t/18p+0lbHWydw==" spinCount="100000" sheet="1" objects="1" scenarios="1"/>
  <x:pageMargins left="0.7" right="0.7" top="0.75" bottom="0.75" header="0.3" footer="0.3"/>
</x:worksheet>
</file>