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79a7c2e4014577" /></Relationships>
</file>

<file path=xl/workbook.xml><?xml version="1.0" encoding="utf-8"?>
<x:workbook xmlns:x="http://schemas.openxmlformats.org/spreadsheetml/2006/main">
  <x:workbookProtection workbookAlgorithmName="SHA-512" workbookHashValue="igPMLlvaeK+eZ1X4P7F7pJnIJuZh987qAsgg7csA3Fsw9/WjzBmZjjl9LFCU62iVx2G7JIy3DooOehcIUSuv8A==" workbookSaltValue="wjl20j8TCFBkw3STY98Gig==" workbookSpinCount="100000" lockStructure="1"/>
  <x:sheets>
    <x:sheet xmlns:r="http://schemas.openxmlformats.org/officeDocument/2006/relationships" name="Annual EMS taxes" sheetId="1" r:id="R864e37f518d940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ba70de0b204004" /><Relationship Type="http://schemas.openxmlformats.org/officeDocument/2006/relationships/theme" Target="/xl/theme/theme1.xml" Id="Rdffe5008248a4f77" /><Relationship Type="http://schemas.openxmlformats.org/officeDocument/2006/relationships/sharedStrings" Target="/xl/sharedStrings.xml" Id="R6ce7254f60cd453b" /><Relationship Type="http://schemas.openxmlformats.org/officeDocument/2006/relationships/worksheet" Target="/xl/worksheets/sheet1.xml" Id="R864e37f518d940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STOOKEY TWP SEC 9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3230 CEMETERY RD, MILLSTADT, IL 62260</x:v>
      </x:c>
      <x:c r="B7" s="11" t="n">
        <x:v>0</x:v>
      </x:c>
      <x:c r="C7" s="11" t="n">
        <x:v>0</x:v>
      </x:c>
      <x:c r="D7" s="13" t="n">
        <x:f>ROUND(C7-B7,2)</x:f>
        <x:v>0</x:v>
      </x:c>
    </x:row>
    <x:row r="8" ht="46" customHeight="1">
      <x:c r="A8" s="14" t="str">
        <x:v>8836 LE PERE SCHOOL RD, MILLSTADT, IL 62260</x:v>
      </x:c>
      <x:c r="B8" s="15" t="n">
        <x:v>0</x:v>
      </x:c>
      <x:c r="C8" s="15" t="n">
        <x:v>0</x:v>
      </x:c>
      <x:c r="D8" s="13" t="n">
        <x:f>ROUND(C8-B8,2)</x:f>
        <x:v>0</x:v>
      </x:c>
    </x:row>
    <x:row r="9" ht="46" customHeight="1">
      <x:c r="A9" s="9" t="str">
        <x:v>8840 LE PERE SCHOOL RD, MILLSTADT, IL 62260</x:v>
      </x:c>
      <x:c r="B9" s="11" t="n">
        <x:v>80.21</x:v>
      </x:c>
      <x:c r="C9" s="11" t="n">
        <x:v>267.37</x:v>
      </x:c>
      <x:c r="D9" s="13" t="n">
        <x:f>ROUND(C9-B9,2)</x:f>
        <x:v>187.16</x:v>
      </x:c>
    </x:row>
    <x:row r="10" ht="46" customHeight="1">
      <x:c r="A10" s="14" t="str">
        <x:v>8852 LEPERE SCHOOL RD, MILLSTADT, IL 62260</x:v>
      </x:c>
      <x:c r="B10" s="15" t="n">
        <x:v>54.34</x:v>
      </x:c>
      <x:c r="C10" s="15" t="n">
        <x:v>181.13</x:v>
      </x:c>
      <x:c r="D10" s="13" t="n">
        <x:f>ROUND(C10-B10,2)</x:f>
        <x:v>126.79</x:v>
      </x:c>
    </x:row>
    <x:row r="11" ht="46" customHeight="1">
      <x:c r="A11" s="9" t="str">
        <x:v>8853 STATE RT 163, MILLSTADT, IL 62260</x:v>
      </x:c>
      <x:c r="B11" s="11" t="n">
        <x:v>0</x:v>
      </x:c>
      <x:c r="C11" s="11" t="n">
        <x:v>0</x:v>
      </x:c>
      <x:c r="D11" s="13" t="n">
        <x:f>ROUND(C11-B11,2)</x:f>
        <x:v>0</x:v>
      </x:c>
    </x:row>
    <x:row r="12" ht="46" customHeight="1">
      <x:c r="A12" s="14" t="str">
        <x:v>8755 STATE RTE 163, MILLSTADT, IL 62260
Parcel 07-09.0-400-014</x:v>
      </x:c>
      <x:c r="B12" s="15" t="n">
        <x:v>8.08</x:v>
      </x:c>
      <x:c r="C12" s="15" t="n">
        <x:v>26.94</x:v>
      </x:c>
      <x:c r="D12" s="13" t="n">
        <x:f>ROUND(C12-B12,2)</x:f>
        <x:v>18.86</x:v>
      </x:c>
    </x:row>
    <x:row r="13" ht="46" customHeight="1">
      <x:c r="A13" s="9" t="str">
        <x:v>8811 STATE RTE 163, MILLSTADT, IL 62260</x:v>
      </x:c>
      <x:c r="B13" s="11" t="n">
        <x:v>203.76</x:v>
      </x:c>
      <x:c r="C13" s="11" t="n">
        <x:v>679.21</x:v>
      </x:c>
      <x:c r="D13" s="13" t="n">
        <x:f>ROUND(C13-B13,2)</x:f>
        <x:v>475.45</x:v>
      </x:c>
    </x:row>
    <x:row r="14" ht="46" customHeight="1">
      <x:c r="A14" s="14" t="str">
        <x:v>8835 STATE RTE 163, MILLSTADT, IL 62260</x:v>
      </x:c>
      <x:c r="B14" s="15" t="n">
        <x:v>31.41</x:v>
      </x:c>
      <x:c r="C14" s="15" t="n">
        <x:v>104.71</x:v>
      </x:c>
      <x:c r="D14" s="13" t="n">
        <x:f>ROUND(C14-B14,2)</x:f>
        <x:v>73.3</x:v>
      </x:c>
    </x:row>
    <x:row r="15" ht="46" customHeight="1">
      <x:c r="A15" s="9" t="str">
        <x:v>8840 STATE RTE 163, MILLSTADT, IL 62260</x:v>
      </x:c>
      <x:c r="B15" s="11" t="n">
        <x:v>20.59</x:v>
      </x:c>
      <x:c r="C15" s="11" t="n">
        <x:v>68.64</x:v>
      </x:c>
      <x:c r="D15" s="13" t="n">
        <x:f>ROUND(C15-B15,2)</x:f>
        <x:v>48.05</x:v>
      </x:c>
    </x:row>
    <x:row r="16" ht="46" customHeight="1">
      <x:c r="A16" s="14" t="str">
        <x:v>8841 STATE RTE 163, MILLSTADT, IL 62260</x:v>
      </x:c>
      <x:c r="B16" s="15" t="n">
        <x:v>34.52</x:v>
      </x:c>
      <x:c r="C16" s="15" t="n">
        <x:v>115.07</x:v>
      </x:c>
      <x:c r="D16" s="13" t="n">
        <x:f>ROUND(C16-B16,2)</x:f>
        <x:v>80.55</x:v>
      </x:c>
    </x:row>
    <x:row r="17" ht="46" customHeight="1">
      <x:c r="A17" s="9" t="str">
        <x:v>8847 STATE RTE 163, MILLSTADT, IL 62260</x:v>
      </x:c>
      <x:c r="B17" s="11" t="n">
        <x:v>17.21</x:v>
      </x:c>
      <x:c r="C17" s="11" t="n">
        <x:v>57.38</x:v>
      </x:c>
      <x:c r="D17" s="13" t="n">
        <x:f>ROUND(C17-B17,2)</x:f>
        <x:v>40.17</x:v>
      </x:c>
    </x:row>
    <x:row r="18" ht="46" customHeight="1">
      <x:c r="A18" s="14" t="str">
        <x:v>8859 STATE RTE 163, MILLSTADT, IL 62260</x:v>
      </x:c>
      <x:c r="B18" s="15" t="n">
        <x:v>58.68</x:v>
      </x:c>
      <x:c r="C18" s="15" t="n">
        <x:v>195.62</x:v>
      </x:c>
      <x:c r="D18" s="13" t="n">
        <x:f>ROUND(C18-B18,2)</x:f>
        <x:v>136.94</x:v>
      </x:c>
    </x:row>
    <x:row r="19" ht="46" customHeight="1">
      <x:c r="A19" s="9" t="str">
        <x:v>8863 STATE RTE 163, MILLSTADT, IL 62260</x:v>
      </x:c>
      <x:c r="B19" s="11" t="n">
        <x:v>73.71</x:v>
      </x:c>
      <x:c r="C19" s="11" t="n">
        <x:v>245.7</x:v>
      </x:c>
      <x:c r="D19" s="13" t="n">
        <x:f>ROUND(C19-B19,2)</x:f>
        <x:v>171.99</x:v>
      </x:c>
    </x:row>
    <x:row r="20" ht="46" customHeight="1">
      <x:c r="A20" s="14" t="str">
        <x:v>8878 STATE RTE 163, MILLSTADT, IL 62260</x:v>
      </x:c>
      <x:c r="B20" s="15" t="n">
        <x:v>93.31</x:v>
      </x:c>
      <x:c r="C20" s="15" t="n">
        <x:v>311.04</x:v>
      </x:c>
      <x:c r="D20" s="13" t="n">
        <x:f>ROUND(C20-B20,2)</x:f>
        <x:v>217.73</x:v>
      </x:c>
    </x:row>
    <x:row r="21" ht="46" customHeight="1">
      <x:c r="A21" s="9" t="str">
        <x:v>8909 STATE RTE 163, MILLSTADT, IL 62260</x:v>
      </x:c>
      <x:c r="B21" s="11" t="n">
        <x:v>48.6</x:v>
      </x:c>
      <x:c r="C21" s="11" t="n">
        <x:v>162.01</x:v>
      </x:c>
      <x:c r="D21" s="13" t="n">
        <x:f>ROUND(C21-B21,2)</x:f>
        <x:v>113.41</x:v>
      </x:c>
    </x:row>
    <x:row r="22" ht="46" customHeight="1">
      <x:c r="A22" s="14" t="str">
        <x:v>8910 STATE RTE 163, MILLSTADT, IL 62260</x:v>
      </x:c>
      <x:c r="B22" s="15" t="n">
        <x:v>31.14</x:v>
      </x:c>
      <x:c r="C22" s="15" t="n">
        <x:v>103.81</x:v>
      </x:c>
      <x:c r="D22" s="13" t="n">
        <x:f>ROUND(C22-B22,2)</x:f>
        <x:v>72.67</x:v>
      </x:c>
    </x:row>
    <x:row r="23" ht="46" customHeight="1">
      <x:c r="A23" s="9" t="str">
        <x:v>8947 STATE RTE 163, MILLSTADT, IL 62260</x:v>
      </x:c>
      <x:c r="B23" s="11" t="n">
        <x:v>7.16</x:v>
      </x:c>
      <x:c r="C23" s="11" t="n">
        <x:v>23.88</x:v>
      </x:c>
      <x:c r="D23" s="13" t="n">
        <x:f>ROUND(C23-B23,2)</x:f>
        <x:v>16.72</x:v>
      </x:c>
    </x:row>
    <x:row r="24" ht="46" customHeight="1">
      <x:c r="A24" s="14" t="str">
        <x:v>8948 STATE RTE 163, MILLSTADT, IL 62260</x:v>
      </x:c>
      <x:c r="B24" s="15" t="n">
        <x:v>0</x:v>
      </x:c>
      <x:c r="C24" s="15" t="n">
        <x:v>0</x:v>
      </x:c>
      <x:c r="D24" s="13" t="n">
        <x:f>ROUND(C24-B24,2)</x:f>
        <x:v>0</x:v>
      </x:c>
    </x:row>
    <x:row r="25" ht="46" customHeight="1">
      <x:c r="A25" s="9" t="str">
        <x:v>8967 STATE RTE 163, MILLSTADT, IL 62260</x:v>
      </x:c>
      <x:c r="B25" s="11" t="n">
        <x:v>27.45</x:v>
      </x:c>
      <x:c r="C25" s="11" t="n">
        <x:v>91.49</x:v>
      </x:c>
      <x:c r="D25" s="13" t="n">
        <x:f>ROUND(C25-B25,2)</x:f>
        <x:v>64.04</x:v>
      </x:c>
    </x:row>
    <x:row r="26" ht="46" customHeight="1">
      <x:c r="A26" s="14" t="str">
        <x:v>500 VALLEY VIEW DR, MILLSTADT, IL 62260</x:v>
      </x:c>
      <x:c r="B26" s="15" t="n">
        <x:v>46.65</x:v>
      </x:c>
      <x:c r="C26" s="15" t="n">
        <x:v>155.48</x:v>
      </x:c>
      <x:c r="D26" s="13" t="n">
        <x:f>ROUND(C26-B26,2)</x:f>
        <x:v>108.83</x:v>
      </x:c>
    </x:row>
    <x:row r="27" ht="46" customHeight="1">
      <x:c r="A27" s="9" t="str">
        <x:v>506 VALLEY VIEW DR, MILLSTADT, IL 62260</x:v>
      </x:c>
      <x:c r="B27" s="11" t="n">
        <x:v>14.47</x:v>
      </x:c>
      <x:c r="C27" s="11" t="n">
        <x:v>48.23</x:v>
      </x:c>
      <x:c r="D27" s="13" t="n">
        <x:f>ROUND(C27-B27,2)</x:f>
        <x:v>33.76</x:v>
      </x:c>
    </x:row>
    <x:row r="28" ht="46" customHeight="1">
      <x:c r="A28" s="14" t="str">
        <x:v>512 VALLEY VIEW DR, MILLSTADT, IL 62260</x:v>
      </x:c>
      <x:c r="B28" s="15" t="n">
        <x:v>28.75</x:v>
      </x:c>
      <x:c r="C28" s="15" t="n">
        <x:v>95.82</x:v>
      </x:c>
      <x:c r="D28" s="13" t="n">
        <x:f>ROUND(C28-B28,2)</x:f>
        <x:v>67.07</x:v>
      </x:c>
    </x:row>
    <x:row r="29" ht="46" customHeight="1">
      <x:c r="A29" s="9" t="str">
        <x:v>513 VALLEY VIEW DR, MILLSTADT, IL 62260</x:v>
      </x:c>
      <x:c r="B29" s="11" t="n">
        <x:v>41.5</x:v>
      </x:c>
      <x:c r="C29" s="11" t="n">
        <x:v>138.34</x:v>
      </x:c>
      <x:c r="D29" s="13" t="n">
        <x:f>ROUND(C29-B29,2)</x:f>
        <x:v>96.84</x:v>
      </x:c>
    </x:row>
    <x:row r="30" ht="46" customHeight="1">
      <x:c r="A30" s="14" t="str">
        <x:v>515 VALLEY VIEW DR, MILLSTADT, IL 62260</x:v>
      </x:c>
      <x:c r="B30" s="15" t="n">
        <x:v>48.84</x:v>
      </x:c>
      <x:c r="C30" s="15" t="n">
        <x:v>162.81</x:v>
      </x:c>
      <x:c r="D30" s="13" t="n">
        <x:f>ROUND(C30-B30,2)</x:f>
        <x:v>113.97</x:v>
      </x:c>
    </x:row>
    <x:row r="31" ht="46" customHeight="1">
      <x:c r="A31" s="9" t="str">
        <x:v>516 VALLEY VIEW DR, MILLSTADT, IL 62260</x:v>
      </x:c>
      <x:c r="B31" s="11" t="n">
        <x:v>32.42</x:v>
      </x:c>
      <x:c r="C31" s="11" t="n">
        <x:v>108.08</x:v>
      </x:c>
      <x:c r="D31" s="13" t="n">
        <x:f>ROUND(C31-B31,2)</x:f>
        <x:v>75.66</x:v>
      </x:c>
    </x:row>
    <x:row r="32" ht="46" customHeight="1">
      <x:c r="A32" s="14" t="str">
        <x:v>520 VALLEY VIEW DR, MILLSTADT, IL 62260</x:v>
      </x:c>
      <x:c r="B32" s="15" t="n">
        <x:v>26.1</x:v>
      </x:c>
      <x:c r="C32" s="15" t="n">
        <x:v>87.01</x:v>
      </x:c>
      <x:c r="D32" s="13" t="n">
        <x:f>ROUND(C32-B32,2)</x:f>
        <x:v>60.91</x:v>
      </x:c>
    </x:row>
  </x:sheetData>
  <x:sheetProtection algorithmName="SHA-512" hashValue="igPMLlvaeK+eZ1X4P7F7pJnIJuZh987qAsgg7csA3Fsw9/WjzBmZjjl9LFCU62iVx2G7JIy3DooOehcIUSuv8A==" saltValue="wjl20j8TCFBkw3STY98Gig==" spinCount="100000" sheet="1" objects="1" scenarios="1"/>
  <x:pageMargins left="0.7" right="0.7" top="0.75" bottom="0.75" header="0.3" footer="0.3"/>
</x:worksheet>
</file>