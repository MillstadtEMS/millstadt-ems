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3e106709784a93" /></Relationships>
</file>

<file path=xl/workbook.xml><?xml version="1.0" encoding="utf-8"?>
<x:workbook xmlns:x="http://schemas.openxmlformats.org/spreadsheetml/2006/main">
  <x:workbookProtection workbookAlgorithmName="SHA-512" workbookHashValue="wXlvIsR+1hsFHoCp+0hyA9/kHHF/0xyCM2axJrudIJ1QDkYM0cWjeIeytzpeFenzv6n1UMfiAVy8wd66/Bp0yg==" workbookSaltValue="lCqpEojgUqseSv0NZ9XWgw==" workbookSpinCount="100000" lockStructure="1"/>
  <x:sheets>
    <x:sheet xmlns:r="http://schemas.openxmlformats.org/officeDocument/2006/relationships" name="Annual EMS taxes" sheetId="1" r:id="R47dbbc6140884c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8ae51ebb4f4edd" /><Relationship Type="http://schemas.openxmlformats.org/officeDocument/2006/relationships/theme" Target="/xl/theme/theme1.xml" Id="Rcfdd16cd7b0c4af5" /><Relationship Type="http://schemas.openxmlformats.org/officeDocument/2006/relationships/sharedStrings" Target="/xl/sharedStrings.xml" Id="Rff2ada7ecc58406b" /><Relationship Type="http://schemas.openxmlformats.org/officeDocument/2006/relationships/worksheet" Target="/xl/worksheets/sheet1.xml" Id="R47dbbc6140884c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 &amp; O STATION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822 M &amp; O STATION RD, MILLSTADT, IL 62260</x:v>
      </x:c>
      <x:c r="B7" s="11" t="n">
        <x:v>29.18</x:v>
      </x:c>
      <x:c r="C7" s="11" t="n">
        <x:v>97.27</x:v>
      </x:c>
      <x:c r="D7" s="13" t="n">
        <x:f>ROUND(C7-B7,2)</x:f>
        <x:v>68.09</x:v>
      </x:c>
    </x:row>
    <x:row r="8" ht="46" customHeight="1">
      <x:c r="A8" s="14" t="str">
        <x:v>801 M AND O STATION RD, MILLSTADT, IL 62260</x:v>
      </x:c>
      <x:c r="B8" s="15" t="n">
        <x:v>28.95</x:v>
      </x:c>
      <x:c r="C8" s="15" t="n">
        <x:v>96.5</x:v>
      </x:c>
      <x:c r="D8" s="13" t="n">
        <x:f>ROUND(C8-B8,2)</x:f>
        <x:v>67.55</x:v>
      </x:c>
    </x:row>
    <x:row r="9" ht="46" customHeight="1">
      <x:c r="A9" s="9" t="str">
        <x:v>807 M AND O STATION RD, MILLSTADT, IL 62260</x:v>
      </x:c>
      <x:c r="B9" s="11" t="n">
        <x:v>44.42</x:v>
      </x:c>
      <x:c r="C9" s="11" t="n">
        <x:v>148.08</x:v>
      </x:c>
      <x:c r="D9" s="13" t="n">
        <x:f>ROUND(C9-B9,2)</x:f>
        <x:v>103.66</x:v>
      </x:c>
    </x:row>
    <x:row r="10" ht="46" customHeight="1">
      <x:c r="A10" s="14" t="str">
        <x:v>810 M AND O STATION RD, MILLSTADT, IL 62260</x:v>
      </x:c>
      <x:c r="B10" s="15" t="n">
        <x:v>52.29</x:v>
      </x:c>
      <x:c r="C10" s="15" t="n">
        <x:v>174.31</x:v>
      </x:c>
      <x:c r="D10" s="13" t="n">
        <x:f>ROUND(C10-B10,2)</x:f>
        <x:v>122.02</x:v>
      </x:c>
    </x:row>
    <x:row r="11" ht="46" customHeight="1">
      <x:c r="A11" s="9" t="str">
        <x:v>813 M AND O STATION RD, MILLSTADT, IL 62260</x:v>
      </x:c>
      <x:c r="B11" s="11" t="n">
        <x:v>48.94</x:v>
      </x:c>
      <x:c r="C11" s="11" t="n">
        <x:v>163.13</x:v>
      </x:c>
      <x:c r="D11" s="13" t="n">
        <x:f>ROUND(C11-B11,2)</x:f>
        <x:v>114.19</x:v>
      </x:c>
    </x:row>
    <x:row r="12" ht="46" customHeight="1">
      <x:c r="A12" s="14" t="str">
        <x:v>816 M AND O STATION RD, MILLSTADT, IL 62260</x:v>
      </x:c>
      <x:c r="B12" s="15" t="n">
        <x:v>47.22</x:v>
      </x:c>
      <x:c r="C12" s="15" t="n">
        <x:v>157.4</x:v>
      </x:c>
      <x:c r="D12" s="13" t="n">
        <x:f>ROUND(C12-B12,2)</x:f>
        <x:v>110.18</x:v>
      </x:c>
    </x:row>
    <x:row r="13" ht="46" customHeight="1">
      <x:c r="A13" s="9" t="str">
        <x:v>819 M AND O STATION RD, MILLSTADT, IL 62260</x:v>
      </x:c>
      <x:c r="B13" s="11" t="n">
        <x:v>50.46</x:v>
      </x:c>
      <x:c r="C13" s="11" t="n">
        <x:v>168.2</x:v>
      </x:c>
      <x:c r="D13" s="13" t="n">
        <x:f>ROUND(C13-B13,2)</x:f>
        <x:v>117.74</x:v>
      </x:c>
    </x:row>
    <x:row r="14" ht="46" customHeight="1">
      <x:c r="A14" s="14" t="str">
        <x:v>825 M AND O STATION RD, MILLSTADT, IL 62260</x:v>
      </x:c>
      <x:c r="B14" s="15" t="n">
        <x:v>59.34</x:v>
      </x:c>
      <x:c r="C14" s="15" t="n">
        <x:v>197.79</x:v>
      </x:c>
      <x:c r="D14" s="13" t="n">
        <x:f>ROUND(C14-B14,2)</x:f>
        <x:v>138.45</x:v>
      </x:c>
    </x:row>
    <x:row r="15" ht="46" customHeight="1">
      <x:c r="A15" s="9" t="str">
        <x:v>828 M AND O STATION RD, MILLSTADT, IL 62260</x:v>
      </x:c>
      <x:c r="B15" s="11" t="n">
        <x:v>51.43</x:v>
      </x:c>
      <x:c r="C15" s="11" t="n">
        <x:v>171.43</x:v>
      </x:c>
      <x:c r="D15" s="13" t="n">
        <x:f>ROUND(C15-B15,2)</x:f>
        <x:v>120</x:v>
      </x:c>
    </x:row>
    <x:row r="16" ht="46" customHeight="1">
      <x:c r="A16" s="14" t="str">
        <x:v>831 M AND O STATION RD, MILLSTADT, IL 62260</x:v>
      </x:c>
      <x:c r="B16" s="15" t="n">
        <x:v>60.37</x:v>
      </x:c>
      <x:c r="C16" s="15" t="n">
        <x:v>201.23</x:v>
      </x:c>
      <x:c r="D16" s="13" t="n">
        <x:f>ROUND(C16-B16,2)</x:f>
        <x:v>140.86</x:v>
      </x:c>
    </x:row>
    <x:row r="17" ht="46" customHeight="1">
      <x:c r="A17" s="9" t="str">
        <x:v>834 M AND O STATION RD, MILLSTADT, IL 62260</x:v>
      </x:c>
      <x:c r="B17" s="11" t="n">
        <x:v>32.58</x:v>
      </x:c>
      <x:c r="C17" s="11" t="n">
        <x:v>108.59</x:v>
      </x:c>
      <x:c r="D17" s="13" t="n">
        <x:f>ROUND(C17-B17,2)</x:f>
        <x:v>76.01</x:v>
      </x:c>
    </x:row>
    <x:row r="18" ht="46" customHeight="1">
      <x:c r="A18" s="14" t="str">
        <x:v>839 M AND O STATION RD, MILLSTADT, IL 62260</x:v>
      </x:c>
      <x:c r="B18" s="15" t="n">
        <x:v>62.66</x:v>
      </x:c>
      <x:c r="C18" s="15" t="n">
        <x:v>208.88</x:v>
      </x:c>
      <x:c r="D18" s="13" t="n">
        <x:f>ROUND(C18-B18,2)</x:f>
        <x:v>146.22</x:v>
      </x:c>
    </x:row>
    <x:row r="19" ht="46" customHeight="1">
      <x:c r="A19" s="9" t="str">
        <x:v>840 M AND O STATION RD, MILLSTADT, IL 62260</x:v>
      </x:c>
      <x:c r="B19" s="11" t="n">
        <x:v>68.84</x:v>
      </x:c>
      <x:c r="C19" s="11" t="n">
        <x:v>229.48</x:v>
      </x:c>
      <x:c r="D19" s="13" t="n">
        <x:f>ROUND(C19-B19,2)</x:f>
        <x:v>160.64</x:v>
      </x:c>
    </x:row>
    <x:row r="20" ht="46" customHeight="1">
      <x:c r="A20" s="14" t="str">
        <x:v>843 M AND O STATION RD, MILLSTADT, IL 62260</x:v>
      </x:c>
      <x:c r="B20" s="15" t="n">
        <x:v>67.34</x:v>
      </x:c>
      <x:c r="C20" s="15" t="n">
        <x:v>224.47</x:v>
      </x:c>
      <x:c r="D20" s="13" t="n">
        <x:f>ROUND(C20-B20,2)</x:f>
        <x:v>157.13</x:v>
      </x:c>
    </x:row>
    <x:row r="21" ht="46" customHeight="1">
      <x:c r="A21" s="9" t="str">
        <x:v>846 M AND O STATION RD, MILLSTADT, IL 62260</x:v>
      </x:c>
      <x:c r="B21" s="11" t="n">
        <x:v>68.94</x:v>
      </x:c>
      <x:c r="C21" s="11" t="n">
        <x:v>229.8</x:v>
      </x:c>
      <x:c r="D21" s="13" t="n">
        <x:f>ROUND(C21-B21,2)</x:f>
        <x:v>160.86</x:v>
      </x:c>
    </x:row>
    <x:row r="22" ht="46" customHeight="1">
      <x:c r="A22" s="14" t="str">
        <x:v>849 M AND O STATION RD, MILLSTADT, IL 62260</x:v>
      </x:c>
      <x:c r="B22" s="15" t="n">
        <x:v>69.66</x:v>
      </x:c>
      <x:c r="C22" s="15" t="n">
        <x:v>232.22</x:v>
      </x:c>
      <x:c r="D22" s="13" t="n">
        <x:f>ROUND(C22-B22,2)</x:f>
        <x:v>162.56</x:v>
      </x:c>
    </x:row>
    <x:row r="23" ht="46" customHeight="1">
      <x:c r="A23" s="9" t="str">
        <x:v>852 M AND O STATION RD, MILLSTADT, IL 62260</x:v>
      </x:c>
      <x:c r="B23" s="11" t="n">
        <x:v>68.42</x:v>
      </x:c>
      <x:c r="C23" s="11" t="n">
        <x:v>228.07</x:v>
      </x:c>
      <x:c r="D23" s="13" t="n">
        <x:f>ROUND(C23-B23,2)</x:f>
        <x:v>159.65</x:v>
      </x:c>
    </x:row>
    <x:row r="24" ht="46" customHeight="1">
      <x:c r="A24" s="14" t="str">
        <x:v>855 M AND O STATION RD, MILLSTADT, IL 62260</x:v>
      </x:c>
      <x:c r="B24" s="15" t="n">
        <x:v>101.57</x:v>
      </x:c>
      <x:c r="C24" s="15" t="n">
        <x:v>338.57</x:v>
      </x:c>
      <x:c r="D24" s="13" t="n">
        <x:f>ROUND(C24-B24,2)</x:f>
        <x:v>237</x:v>
      </x:c>
    </x:row>
    <x:row r="25" ht="46" customHeight="1">
      <x:c r="A25" s="9" t="str">
        <x:v>858 M AND O STATION RD, MILLSTADT, IL 62260</x:v>
      </x:c>
      <x:c r="B25" s="11" t="n">
        <x:v>109.87</x:v>
      </x:c>
      <x:c r="C25" s="11" t="n">
        <x:v>366.23</x:v>
      </x:c>
      <x:c r="D25" s="13" t="n">
        <x:f>ROUND(C25-B25,2)</x:f>
        <x:v>256.36</x:v>
      </x:c>
    </x:row>
    <x:row r="26" ht="46" customHeight="1">
      <x:c r="A26" s="14" t="str">
        <x:v>876 M AND O STATION RD, MILLSTADT, IL 62260</x:v>
      </x:c>
      <x:c r="B26" s="15" t="n">
        <x:v>114.9</x:v>
      </x:c>
      <x:c r="C26" s="15" t="n">
        <x:v>382.99</x:v>
      </x:c>
      <x:c r="D26" s="13" t="n">
        <x:f>ROUND(C26-B26,2)</x:f>
        <x:v>268.09</x:v>
      </x:c>
    </x:row>
    <x:row r="27" ht="46" customHeight="1">
      <x:c r="A27" s="9" t="str">
        <x:v>500 S ILLINOIS ST, MILLSTADT, IL 62260
Parcel 12-09.0-305-001</x:v>
      </x:c>
      <x:c r="B27" s="11" t="n">
        <x:v>99.73</x:v>
      </x:c>
      <x:c r="C27" s="11" t="n">
        <x:v>332.43</x:v>
      </x:c>
      <x:c r="D27" s="13" t="n">
        <x:f>ROUND(C27-B27,2)</x:f>
        <x:v>232.7</x:v>
      </x:c>
    </x:row>
    <x:row r="28" ht="46" customHeight="1">
      <x:c r="A28" s="14" t="str">
        <x:v>601 VETERANS DR, MILLSTADT, IL 62260</x:v>
      </x:c>
      <x:c r="B28" s="15" t="n">
        <x:v>16.2</x:v>
      </x:c>
      <x:c r="C28" s="15" t="n">
        <x:v>54</x:v>
      </x:c>
      <x:c r="D28" s="13" t="n">
        <x:f>ROUND(C28-B28,2)</x:f>
        <x:v>37.8</x:v>
      </x:c>
    </x:row>
  </x:sheetData>
  <x:sheetProtection algorithmName="SHA-512" hashValue="wXlvIsR+1hsFHoCp+0hyA9/kHHF/0xyCM2axJrudIJ1QDkYM0cWjeIeytzpeFenzv6n1UMfiAVy8wd66/Bp0yg==" saltValue="lCqpEojgUqseSv0NZ9XWgw==" spinCount="100000" sheet="1" objects="1" scenarios="1"/>
  <x:pageMargins left="0.7" right="0.7" top="0.75" bottom="0.75" header="0.3" footer="0.3"/>
</x:worksheet>
</file>