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ffd0335724ca5" /></Relationships>
</file>

<file path=xl/workbook.xml><?xml version="1.0" encoding="utf-8"?>
<x:workbook xmlns:x="http://schemas.openxmlformats.org/spreadsheetml/2006/main">
  <x:workbookProtection workbookAlgorithmName="SHA-512" workbookHashValue="quwUr5TzG6m35pFFPCb63C1pTGDIkajol5OzVx4s9bX1s4fdZYdbz1ya77Wf99jArMsq9eRYFU59rfeAEqn13g==" workbookSaltValue="lb0TRY+pAZkyzcFnQh3NFg==" workbookSpinCount="100000" lockStructure="1"/>
  <x:sheets>
    <x:sheet xmlns:r="http://schemas.openxmlformats.org/officeDocument/2006/relationships" name="Annual EMS taxes" sheetId="1" r:id="Re6fe00de2533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ce78be98c4ab5" /><Relationship Type="http://schemas.openxmlformats.org/officeDocument/2006/relationships/theme" Target="/xl/theme/theme1.xml" Id="R8f961b24d0474870" /><Relationship Type="http://schemas.openxmlformats.org/officeDocument/2006/relationships/sharedStrings" Target="/xl/sharedStrings.xml" Id="R45e24aad105346e3" /><Relationship Type="http://schemas.openxmlformats.org/officeDocument/2006/relationships/worksheet" Target="/xl/worksheets/sheet1.xml" Id="Re6fe00de2533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PARKVIEW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700 ADMIRAL WENDT PKWY, MILLSTADT, IL 62260</x:v>
      </x:c>
      <x:c r="B7" s="11" t="n">
        <x:v>14.15</x:v>
      </x:c>
      <x:c r="C7" s="11" t="n">
        <x:v>47.18</x:v>
      </x:c>
      <x:c r="D7" s="13" t="n">
        <x:f>ROUND(C7-B7,2)</x:f>
        <x:v>33.03</x:v>
      </x:c>
    </x:row>
    <x:row r="8" ht="46" customHeight="1">
      <x:c r="A8" s="14" t="str">
        <x:v>704 ADMIRAL WENDT PKWY, MILLSTADT, IL 62260</x:v>
      </x:c>
      <x:c r="B8" s="15" t="n">
        <x:v>9.35</x:v>
      </x:c>
      <x:c r="C8" s="15" t="n">
        <x:v>31.16</x:v>
      </x:c>
      <x:c r="D8" s="13" t="n">
        <x:f>ROUND(C8-B8,2)</x:f>
        <x:v>21.81</x:v>
      </x:c>
    </x:row>
    <x:row r="9" ht="46" customHeight="1">
      <x:c r="A9" s="9" t="str">
        <x:v>705 ADMIRAL WENDT PKWY, MILLSTADT, IL 62260</x:v>
      </x:c>
      <x:c r="B9" s="11" t="n">
        <x:v>25.09</x:v>
      </x:c>
      <x:c r="C9" s="11" t="n">
        <x:v>83.63</x:v>
      </x:c>
      <x:c r="D9" s="13" t="n">
        <x:f>ROUND(C9-B9,2)</x:f>
        <x:v>58.54</x:v>
      </x:c>
    </x:row>
    <x:row r="10" ht="46" customHeight="1">
      <x:c r="A10" s="14" t="str">
        <x:v>708 ADMIRAL WENDT PKWY, MILLSTADT, IL 62260</x:v>
      </x:c>
      <x:c r="B10" s="15" t="n">
        <x:v>134.45</x:v>
      </x:c>
      <x:c r="C10" s="15" t="n">
        <x:v>448.16</x:v>
      </x:c>
      <x:c r="D10" s="13" t="n">
        <x:f>ROUND(C10-B10,2)</x:f>
        <x:v>313.71</x:v>
      </x:c>
    </x:row>
    <x:row r="11" ht="46" customHeight="1">
      <x:c r="A11" s="9" t="str">
        <x:v>709 ADMIRAL WENDT PKWY, MILLSTADT, IL 62260</x:v>
      </x:c>
      <x:c r="B11" s="11" t="n">
        <x:v>0.83</x:v>
      </x:c>
      <x:c r="C11" s="11" t="n">
        <x:v>2.78</x:v>
      </x:c>
      <x:c r="D11" s="13" t="n">
        <x:f>ROUND(C11-B11,2)</x:f>
        <x:v>1.95</x:v>
      </x:c>
    </x:row>
    <x:row r="12" ht="46" customHeight="1">
      <x:c r="A12" s="14" t="str">
        <x:v>712 ADMIRAL WENDT PKWY, MILLSTADT, IL 62260</x:v>
      </x:c>
      <x:c r="B12" s="15" t="n">
        <x:v>130.91</x:v>
      </x:c>
      <x:c r="C12" s="15" t="n">
        <x:v>436.38</x:v>
      </x:c>
      <x:c r="D12" s="13" t="n">
        <x:f>ROUND(C12-B12,2)</x:f>
        <x:v>305.47</x:v>
      </x:c>
    </x:row>
    <x:row r="13" ht="46" customHeight="1">
      <x:c r="A13" s="9" t="str">
        <x:v>713 ADMIRAL WENDT PKWY, MILLSTADT, IL 62260</x:v>
      </x:c>
      <x:c r="B13" s="11" t="n">
        <x:v>123.84</x:v>
      </x:c>
      <x:c r="C13" s="11" t="n">
        <x:v>412.79</x:v>
      </x:c>
      <x:c r="D13" s="13" t="n">
        <x:f>ROUND(C13-B13,2)</x:f>
        <x:v>288.95</x:v>
      </x:c>
    </x:row>
    <x:row r="14" ht="46" customHeight="1">
      <x:c r="A14" s="14" t="str">
        <x:v>716 ADMIRAL WENDT PKWY, MILLSTADT, IL 62260</x:v>
      </x:c>
      <x:c r="B14" s="15" t="n">
        <x:v>119.37</x:v>
      </x:c>
      <x:c r="C14" s="15" t="n">
        <x:v>397.89</x:v>
      </x:c>
      <x:c r="D14" s="13" t="n">
        <x:f>ROUND(C14-B14,2)</x:f>
        <x:v>278.52</x:v>
      </x:c>
    </x:row>
    <x:row r="15" ht="46" customHeight="1">
      <x:c r="A15" s="9" t="str">
        <x:v>717 ADMIRAL WENDT PKWY, MILLSTADT, IL 62260</x:v>
      </x:c>
      <x:c r="B15" s="11" t="n">
        <x:v>129.55</x:v>
      </x:c>
      <x:c r="C15" s="11" t="n">
        <x:v>431.84</x:v>
      </x:c>
      <x:c r="D15" s="13" t="n">
        <x:f>ROUND(C15-B15,2)</x:f>
        <x:v>302.29</x:v>
      </x:c>
    </x:row>
    <x:row r="16" ht="46" customHeight="1">
      <x:c r="A16" s="14" t="str">
        <x:v>720 ADMIRAL WENDT PKWY, MILLSTADT, IL 62260</x:v>
      </x:c>
      <x:c r="B16" s="15" t="n">
        <x:v>18.6</x:v>
      </x:c>
      <x:c r="C16" s="15" t="n">
        <x:v>62.02</x:v>
      </x:c>
      <x:c r="D16" s="13" t="n">
        <x:f>ROUND(C16-B16,2)</x:f>
        <x:v>43.42</x:v>
      </x:c>
    </x:row>
    <x:row r="17" ht="46" customHeight="1">
      <x:c r="A17" s="9" t="str">
        <x:v>724 ADMIRAL WENDT PKWY, MILLSTADT, IL 62260</x:v>
      </x:c>
      <x:c r="B17" s="11" t="n">
        <x:v>210.49</x:v>
      </x:c>
      <x:c r="C17" s="11" t="n">
        <x:v>701.63</x:v>
      </x:c>
      <x:c r="D17" s="13" t="n">
        <x:f>ROUND(C17-B17,2)</x:f>
        <x:v>491.14</x:v>
      </x:c>
    </x:row>
    <x:row r="18" ht="46" customHeight="1">
      <x:c r="A18" s="14" t="str">
        <x:v>725 ADMIRAL WENDT PKWY, MILLSTADT, IL 62260</x:v>
      </x:c>
      <x:c r="B18" s="15" t="n">
        <x:v>156.24</x:v>
      </x:c>
      <x:c r="C18" s="15" t="n">
        <x:v>520.81</x:v>
      </x:c>
      <x:c r="D18" s="13" t="n">
        <x:f>ROUND(C18-B18,2)</x:f>
        <x:v>364.57</x:v>
      </x:c>
    </x:row>
    <x:row r="19" ht="46" customHeight="1">
      <x:c r="A19" s="9" t="str">
        <x:v>728 ADMIRAL WENDT PKWY, MILLSTADT, IL 62260</x:v>
      </x:c>
      <x:c r="B19" s="11" t="n">
        <x:v>167.72</x:v>
      </x:c>
      <x:c r="C19" s="11" t="n">
        <x:v>559.06</x:v>
      </x:c>
      <x:c r="D19" s="13" t="n">
        <x:f>ROUND(C19-B19,2)</x:f>
        <x:v>391.34</x:v>
      </x:c>
    </x:row>
    <x:row r="20" ht="46" customHeight="1">
      <x:c r="A20" s="14" t="str">
        <x:v>729 ADMIRAL WENDT PKWY, MILLSTADT, IL 62260</x:v>
      </x:c>
      <x:c r="B20" s="15" t="n">
        <x:v>118.4</x:v>
      </x:c>
      <x:c r="C20" s="15" t="n">
        <x:v>394.66</x:v>
      </x:c>
      <x:c r="D20" s="13" t="n">
        <x:f>ROUND(C20-B20,2)</x:f>
        <x:v>276.26</x:v>
      </x:c>
    </x:row>
    <x:row r="21" ht="46" customHeight="1">
      <x:c r="A21" s="9" t="str">
        <x:v>732 ADMIRAL WENDT PKWY, MILLSTADT, IL 62260</x:v>
      </x:c>
      <x:c r="B21" s="11" t="n">
        <x:v>131.55</x:v>
      </x:c>
      <x:c r="C21" s="11" t="n">
        <x:v>438.5</x:v>
      </x:c>
      <x:c r="D21" s="13" t="n">
        <x:f>ROUND(C21-B21,2)</x:f>
        <x:v>306.95</x:v>
      </x:c>
    </x:row>
    <x:row r="22" ht="46" customHeight="1">
      <x:c r="A22" s="14" t="str">
        <x:v>733 ADMIRAL WENDT PKWY, MILLSTADT, IL 62260</x:v>
      </x:c>
      <x:c r="B22" s="15" t="n">
        <x:v>138.68</x:v>
      </x:c>
      <x:c r="C22" s="15" t="n">
        <x:v>462.27</x:v>
      </x:c>
      <x:c r="D22" s="13" t="n">
        <x:f>ROUND(C22-B22,2)</x:f>
        <x:v>323.59</x:v>
      </x:c>
    </x:row>
    <x:row r="23" ht="46" customHeight="1">
      <x:c r="A23" s="9" t="str">
        <x:v>736 ADMIRAL WENDT PKWY, MILLSTADT, IL 62260</x:v>
      </x:c>
      <x:c r="B23" s="11" t="n">
        <x:v>132.88</x:v>
      </x:c>
      <x:c r="C23" s="11" t="n">
        <x:v>442.92</x:v>
      </x:c>
      <x:c r="D23" s="13" t="n">
        <x:f>ROUND(C23-B23,2)</x:f>
        <x:v>310.04</x:v>
      </x:c>
    </x:row>
    <x:row r="24" ht="46" customHeight="1">
      <x:c r="A24" s="14" t="str">
        <x:v>737 ADMIRAL WENDT PKWY, MILLSTADT, IL 62260</x:v>
      </x:c>
      <x:c r="B24" s="15" t="n">
        <x:v>121.12</x:v>
      </x:c>
      <x:c r="C24" s="15" t="n">
        <x:v>403.73</x:v>
      </x:c>
      <x:c r="D24" s="13" t="n">
        <x:f>ROUND(C24-B24,2)</x:f>
        <x:v>282.61</x:v>
      </x:c>
    </x:row>
    <x:row r="25" ht="46" customHeight="1">
      <x:c r="A25" s="9" t="str">
        <x:v>740 ADMIRAL WENDT PKWY, MILLSTADT, IL 62260</x:v>
      </x:c>
      <x:c r="B25" s="11" t="n">
        <x:v>125.36</x:v>
      </x:c>
      <x:c r="C25" s="11" t="n">
        <x:v>417.88</x:v>
      </x:c>
      <x:c r="D25" s="13" t="n">
        <x:f>ROUND(C25-B25,2)</x:f>
        <x:v>292.52</x:v>
      </x:c>
    </x:row>
    <x:row r="26" ht="46" customHeight="1">
      <x:c r="A26" s="14" t="str">
        <x:v>741 ADMIRAL WENDT PKWY, MILLSTADT, IL 62260</x:v>
      </x:c>
      <x:c r="B26" s="15" t="n">
        <x:v>150.36</x:v>
      </x:c>
      <x:c r="C26" s="15" t="n">
        <x:v>501.2</x:v>
      </x:c>
      <x:c r="D26" s="13" t="n">
        <x:f>ROUND(C26-B26,2)</x:f>
        <x:v>350.84</x:v>
      </x:c>
    </x:row>
    <x:row r="27" ht="46" customHeight="1">
      <x:c r="A27" s="9" t="str">
        <x:v>744 ADMIRAL WENDT PKWY, MILLSTADT, IL 62260</x:v>
      </x:c>
      <x:c r="B27" s="11" t="n">
        <x:v>169.74</x:v>
      </x:c>
      <x:c r="C27" s="11" t="n">
        <x:v>565.81</x:v>
      </x:c>
      <x:c r="D27" s="13" t="n">
        <x:f>ROUND(C27-B27,2)</x:f>
        <x:v>396.07</x:v>
      </x:c>
    </x:row>
    <x:row r="28" ht="46" customHeight="1">
      <x:c r="A28" s="14" t="str">
        <x:v>3328 SAEGER RD, MILLSTADT, IL 62260</x:v>
      </x:c>
      <x:c r="B28" s="15" t="n">
        <x:v>151.83</x:v>
      </x:c>
      <x:c r="C28" s="15" t="n">
        <x:v>506.11</x:v>
      </x:c>
      <x:c r="D28" s="13" t="n">
        <x:f>ROUND(C28-B28,2)</x:f>
        <x:v>354.28</x:v>
      </x:c>
    </x:row>
  </x:sheetData>
  <x:sheetProtection algorithmName="SHA-512" hashValue="quwUr5TzG6m35pFFPCb63C1pTGDIkajol5OzVx4s9bX1s4fdZYdbz1ya77Wf99jArMsq9eRYFU59rfeAEqn13g==" saltValue="lb0TRY+pAZkyzcFnQh3NFg==" spinCount="100000" sheet="1" objects="1" scenarios="1"/>
  <x:pageMargins left="0.7" right="0.7" top="0.75" bottom="0.75" header="0.3" footer="0.3"/>
</x:worksheet>
</file>