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bad90a0b74203" /></Relationships>
</file>

<file path=xl/workbook.xml><?xml version="1.0" encoding="utf-8"?>
<x:workbook xmlns:x="http://schemas.openxmlformats.org/spreadsheetml/2006/main">
  <x:workbookProtection workbookAlgorithmName="SHA-512" workbookHashValue="1F5NCOC1R1ZZmdozkPuQ87MeibfbSNpYZBD4R/d6TuV+cKV+sIMpkLzzYyc6OyeW5c9LroMIue+RpRGJlxno+Q==" workbookSaltValue="6VqhY0t/uAAIgdIqIvk/VQ==" workbookSpinCount="100000" lockStructure="1"/>
  <x:sheets>
    <x:sheet xmlns:r="http://schemas.openxmlformats.org/officeDocument/2006/relationships" name="Annual EMS taxes" sheetId="1" r:id="R79935116d0b6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bf32c7f2442c6" /><Relationship Type="http://schemas.openxmlformats.org/officeDocument/2006/relationships/theme" Target="/xl/theme/theme1.xml" Id="R25ce7ca1b6ed4bbe" /><Relationship Type="http://schemas.openxmlformats.org/officeDocument/2006/relationships/sharedStrings" Target="/xl/sharedStrings.xml" Id="R967b4d61ade84529" /><Relationship Type="http://schemas.openxmlformats.org/officeDocument/2006/relationships/worksheet" Target="/xl/worksheets/sheet1.xml" Id="R79935116d0b6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3315 CLOVERLEAF SCHOOL RD, BELLEVILLE, IL 62223</x:v>
      </x:c>
      <x:c r="B7" s="11" t="n">
        <x:v>53.18</x:v>
      </x:c>
      <x:c r="C7" s="11" t="n">
        <x:v>177.27</x:v>
      </x:c>
      <x:c r="D7" s="13" t="n">
        <x:f>ROUND(C7-B7,2)</x:f>
        <x:v>124.09</x:v>
      </x:c>
    </x:row>
    <x:row r="8" ht="46" customHeight="1">
      <x:c r="A8" s="14" t="str">
        <x:v>3300 KOSTELAC LN, BELLEVILLE, IL 62223
Parcel 07-21.0-200-005</x:v>
      </x:c>
      <x:c r="B8" s="15" t="n">
        <x:v>6.21</x:v>
      </x:c>
      <x:c r="C8" s="15" t="n">
        <x:v>20.69</x:v>
      </x:c>
      <x:c r="D8" s="13" t="n">
        <x:f>ROUND(C8-B8,2)</x:f>
        <x:v>14.48</x:v>
      </x:c>
    </x:row>
    <x:row r="9" ht="46" customHeight="1">
      <x:c r="A9" s="9" t="str">
        <x:v>3300 KOSTELAC LN, BELLEVILLE, IL 62223
Parcel 07-21.0-400-004</x:v>
      </x:c>
      <x:c r="B9" s="11" t="n">
        <x:v>103.44</x:v>
      </x:c>
      <x:c r="C9" s="11" t="n">
        <x:v>344.78</x:v>
      </x:c>
      <x:c r="D9" s="13" t="n">
        <x:f>ROUND(C9-B9,2)</x:f>
        <x:v>241.34</x:v>
      </x:c>
    </x:row>
    <x:row r="10" ht="46" customHeight="1">
      <x:c r="A10" s="14" t="str">
        <x:v>3330 KOSTELAC LN, BELLEVILLE, IL 62223</x:v>
      </x:c>
      <x:c r="B10" s="15" t="n">
        <x:v>86.56</x:v>
      </x:c>
      <x:c r="C10" s="15" t="n">
        <x:v>288.54</x:v>
      </x:c>
      <x:c r="D10" s="13" t="n">
        <x:f>ROUND(C10-B10,2)</x:f>
        <x:v>201.98</x:v>
      </x:c>
    </x:row>
    <x:row r="11" ht="46" customHeight="1">
      <x:c r="A11" s="9" t="str">
        <x:v>8020 STATE RT 163, BELLEVILLE, IL 62223</x:v>
      </x:c>
      <x:c r="B11" s="11" t="n">
        <x:v>81.95</x:v>
      </x:c>
      <x:c r="C11" s="11" t="n">
        <x:v>273.16</x:v>
      </x:c>
      <x:c r="D11" s="13" t="n">
        <x:f>ROUND(C11-B11,2)</x:f>
        <x:v>191.21</x:v>
      </x:c>
    </x:row>
    <x:row r="12" ht="46" customHeight="1">
      <x:c r="A12" s="14" t="str">
        <x:v>8316 STATE RT 163, MILLSTADT, IL 62260</x:v>
      </x:c>
      <x:c r="B12" s="15" t="n">
        <x:v>109.86</x:v>
      </x:c>
      <x:c r="C12" s="15" t="n">
        <x:v>366.2</x:v>
      </x:c>
      <x:c r="D12" s="13" t="n">
        <x:f>ROUND(C12-B12,2)</x:f>
        <x:v>256.34</x:v>
      </x:c>
    </x:row>
    <x:row r="13" ht="46" customHeight="1">
      <x:c r="A13" s="9" t="str">
        <x:v>8335 STATE RT 163, MILLSTADT, IL 62260</x:v>
      </x:c>
      <x:c r="B13" s="11" t="n">
        <x:v>42.34</x:v>
      </x:c>
      <x:c r="C13" s="11" t="n">
        <x:v>141.12</x:v>
      </x:c>
      <x:c r="D13" s="13" t="n">
        <x:f>ROUND(C13-B13,2)</x:f>
        <x:v>98.78</x:v>
      </x:c>
    </x:row>
    <x:row r="14" ht="46" customHeight="1">
      <x:c r="A14" s="14" t="str">
        <x:v>8101 STATE RTE 163, MILLSTADT, IL 62260</x:v>
      </x:c>
      <x:c r="B14" s="15" t="n">
        <x:v>28.44</x:v>
      </x:c>
      <x:c r="C14" s="15" t="n">
        <x:v>94.8</x:v>
      </x:c>
      <x:c r="D14" s="13" t="n">
        <x:f>ROUND(C14-B14,2)</x:f>
        <x:v>66.36</x:v>
      </x:c>
    </x:row>
    <x:row r="15" ht="46" customHeight="1">
      <x:c r="A15" s="9" t="str">
        <x:v>8132 STATE RTE 163, MILLSTADT, IL 62260</x:v>
      </x:c>
      <x:c r="B15" s="11" t="n">
        <x:v>86.06</x:v>
      </x:c>
      <x:c r="C15" s="11" t="n">
        <x:v>286.87</x:v>
      </x:c>
      <x:c r="D15" s="13" t="n">
        <x:f>ROUND(C15-B15,2)</x:f>
        <x:v>200.81</x:v>
      </x:c>
    </x:row>
    <x:row r="16" ht="46" customHeight="1">
      <x:c r="A16" s="14" t="str">
        <x:v>8136 STATE RTE 163, MILLSTADT, IL 62260</x:v>
      </x:c>
      <x:c r="B16" s="15" t="n">
        <x:v>71.8</x:v>
      </x:c>
      <x:c r="C16" s="15" t="n">
        <x:v>239.33</x:v>
      </x:c>
      <x:c r="D16" s="13" t="n">
        <x:f>ROUND(C16-B16,2)</x:f>
        <x:v>167.53</x:v>
      </x:c>
    </x:row>
    <x:row r="17" ht="46" customHeight="1">
      <x:c r="A17" s="9" t="str">
        <x:v>8197 STATE RTE 163, MILLSTADT, IL 62260</x:v>
      </x:c>
      <x:c r="B17" s="11" t="n">
        <x:v>142.79</x:v>
      </x:c>
      <x:c r="C17" s="11" t="n">
        <x:v>475.96</x:v>
      </x:c>
      <x:c r="D17" s="13" t="n">
        <x:f>ROUND(C17-B17,2)</x:f>
        <x:v>333.17</x:v>
      </x:c>
    </x:row>
    <x:row r="18" ht="46" customHeight="1">
      <x:c r="A18" s="14" t="str">
        <x:v>8205 STATE RTE 163, MILLSTADT, IL 62260</x:v>
      </x:c>
      <x:c r="B18" s="15" t="n">
        <x:v>17.78</x:v>
      </x:c>
      <x:c r="C18" s="15" t="n">
        <x:v>59.26</x:v>
      </x:c>
      <x:c r="D18" s="13" t="n">
        <x:f>ROUND(C18-B18,2)</x:f>
        <x:v>41.48</x:v>
      </x:c>
    </x:row>
    <x:row r="19" ht="46" customHeight="1">
      <x:c r="A19" s="9" t="str">
        <x:v>8216 STATE RTE 163, MILLSTADT, IL 62260</x:v>
      </x:c>
      <x:c r="B19" s="11" t="n">
        <x:v>69.83</x:v>
      </x:c>
      <x:c r="C19" s="11" t="n">
        <x:v>232.76</x:v>
      </x:c>
      <x:c r="D19" s="13" t="n">
        <x:f>ROUND(C19-B19,2)</x:f>
        <x:v>162.93</x:v>
      </x:c>
    </x:row>
    <x:row r="20" ht="46" customHeight="1">
      <x:c r="A20" s="14" t="str">
        <x:v>8227 STATE RTE 163, MILLSTADT, IL 62260</x:v>
      </x:c>
      <x:c r="B20" s="15" t="n">
        <x:v>58.95</x:v>
      </x:c>
      <x:c r="C20" s="15" t="n">
        <x:v>196.49</x:v>
      </x:c>
      <x:c r="D20" s="13" t="n">
        <x:f>ROUND(C20-B20,2)</x:f>
        <x:v>137.54</x:v>
      </x:c>
    </x:row>
    <x:row r="21" ht="46" customHeight="1">
      <x:c r="A21" s="9" t="str">
        <x:v>8228 STATE RTE 163, MILLSTADT, IL 62260</x:v>
      </x:c>
      <x:c r="B21" s="11" t="n">
        <x:v>98.38</x:v>
      </x:c>
      <x:c r="C21" s="11" t="n">
        <x:v>327.92</x:v>
      </x:c>
      <x:c r="D21" s="13" t="n">
        <x:f>ROUND(C21-B21,2)</x:f>
        <x:v>229.54</x:v>
      </x:c>
    </x:row>
    <x:row r="22" ht="46" customHeight="1">
      <x:c r="A22" s="14" t="str">
        <x:v>8300 STATE RTE 163, MILLSTADT, IL 62260</x:v>
      </x:c>
      <x:c r="B22" s="15" t="n">
        <x:v>83.36</x:v>
      </x:c>
      <x:c r="C22" s="15" t="n">
        <x:v>277.88</x:v>
      </x:c>
      <x:c r="D22" s="13" t="n">
        <x:f>ROUND(C22-B22,2)</x:f>
        <x:v>194.52</x:v>
      </x:c>
    </x:row>
    <x:row r="23" ht="46" customHeight="1">
      <x:c r="A23" s="9" t="str">
        <x:v>8312 STATE RTE 163, MILLSTADT, IL 62260</x:v>
      </x:c>
      <x:c r="B23" s="11" t="n">
        <x:v>20.02</x:v>
      </x:c>
      <x:c r="C23" s="11" t="n">
        <x:v>66.73</x:v>
      </x:c>
      <x:c r="D23" s="13" t="n">
        <x:f>ROUND(C23-B23,2)</x:f>
        <x:v>46.71</x:v>
      </x:c>
    </x:row>
    <x:row r="24" ht="46" customHeight="1">
      <x:c r="A24" s="14" t="str">
        <x:v>8331 STATE RTE 163, MILLSTADT, IL 62260</x:v>
      </x:c>
      <x:c r="B24" s="15" t="n">
        <x:v>0</x:v>
      </x:c>
      <x:c r="C24" s="15" t="n">
        <x:v>0</x:v>
      </x:c>
      <x:c r="D24" s="13" t="n">
        <x:f>ROUND(C24-B24,2)</x:f>
        <x:v>0</x:v>
      </x:c>
    </x:row>
    <x:row r="25" ht="46" customHeight="1">
      <x:c r="A25" s="9" t="str">
        <x:v>8337 STATE RTE 163, MILLSTADT, IL 62260
Parcel 07-21.0-100-044</x:v>
      </x:c>
      <x:c r="B25" s="11" t="n">
        <x:v>9.8</x:v>
      </x:c>
      <x:c r="C25" s="11" t="n">
        <x:v>32.65</x:v>
      </x:c>
      <x:c r="D25" s="13" t="n">
        <x:f>ROUND(C25-B25,2)</x:f>
        <x:v>22.85</x:v>
      </x:c>
    </x:row>
    <x:row r="26" ht="46" customHeight="1">
      <x:c r="A26" s="14" t="str">
        <x:v>8338 STATE RTE 163, MILLSTADT, IL 62260</x:v>
      </x:c>
      <x:c r="B26" s="15" t="n">
        <x:v>42.56</x:v>
      </x:c>
      <x:c r="C26" s="15" t="n">
        <x:v>141.87</x:v>
      </x:c>
      <x:c r="D26" s="13" t="n">
        <x:f>ROUND(C26-B26,2)</x:f>
        <x:v>99.31</x:v>
      </x:c>
    </x:row>
    <x:row r="27" ht="46" customHeight="1">
      <x:c r="A27" s="9" t="str">
        <x:v>7108 TOWN HALL RD, BELLEVILLE, IL 62223</x:v>
      </x:c>
      <x:c r="B27" s="11" t="n">
        <x:v>15.6</x:v>
      </x:c>
      <x:c r="C27" s="11" t="n">
        <x:v>51.99</x:v>
      </x:c>
      <x:c r="D27" s="13" t="n">
        <x:f>ROUND(C27-B27,2)</x:f>
        <x:v>36.39</x:v>
      </x:c>
    </x:row>
    <x:row r="28" ht="46" customHeight="1">
      <x:c r="A28" s="14" t="str">
        <x:v>7116 TOWN HALL RD, BELLEVILLE, IL 62223</x:v>
      </x:c>
      <x:c r="B28" s="15" t="n">
        <x:v>73.02</x:v>
      </x:c>
      <x:c r="C28" s="15" t="n">
        <x:v>243.39</x:v>
      </x:c>
      <x:c r="D28" s="13" t="n">
        <x:f>ROUND(C28-B28,2)</x:f>
        <x:v>170.37</x:v>
      </x:c>
    </x:row>
    <x:row r="29" ht="46" customHeight="1">
      <x:c r="A29" s="9" t="str">
        <x:v>7224 TOWN HALL RD, BELLEVILLE, IL 62223</x:v>
      </x:c>
      <x:c r="B29" s="11" t="n">
        <x:v>44.12</x:v>
      </x:c>
      <x:c r="C29" s="11" t="n">
        <x:v>147.06</x:v>
      </x:c>
      <x:c r="D29" s="13" t="n">
        <x:f>ROUND(C29-B29,2)</x:f>
        <x:v>102.94</x:v>
      </x:c>
    </x:row>
    <x:row r="30" ht="46" customHeight="1">
      <x:c r="A30" s="14" t="str">
        <x:v>7238 TOWN HALL RD, BELLEVILLE, IL 62223</x:v>
      </x:c>
      <x:c r="B30" s="15" t="n">
        <x:v>9.15</x:v>
      </x:c>
      <x:c r="C30" s="15" t="n">
        <x:v>30.51</x:v>
      </x:c>
      <x:c r="D30" s="13" t="n">
        <x:f>ROUND(C30-B30,2)</x:f>
        <x:v>21.36</x:v>
      </x:c>
    </x:row>
    <x:row r="31" ht="46" customHeight="1">
      <x:c r="A31" s="9" t="str">
        <x:v>7248 TOWN HALL RD, BELLEVILLE, IL 62223</x:v>
      </x:c>
      <x:c r="B31" s="11" t="n">
        <x:v>26.55</x:v>
      </x:c>
      <x:c r="C31" s="11" t="n">
        <x:v>88.51</x:v>
      </x:c>
      <x:c r="D31" s="13" t="n">
        <x:f>ROUND(C31-B31,2)</x:f>
        <x:v>61.96</x:v>
      </x:c>
    </x:row>
    <x:row r="32" ht="46" customHeight="1">
      <x:c r="A32" s="14" t="str">
        <x:v>7264 TOWN HALL RD, BELLEVILLE, IL 62223</x:v>
      </x:c>
      <x:c r="B32" s="15" t="n">
        <x:v>29.58</x:v>
      </x:c>
      <x:c r="C32" s="15" t="n">
        <x:v>98.6</x:v>
      </x:c>
      <x:c r="D32" s="13" t="n">
        <x:f>ROUND(C32-B32,2)</x:f>
        <x:v>69.02</x:v>
      </x:c>
    </x:row>
    <x:row r="33" ht="46" customHeight="1">
      <x:c r="A33" s="9" t="str">
        <x:v>7324 TOWN HALL RD, BELLEVILLE, IL 62223</x:v>
      </x:c>
      <x:c r="B33" s="11" t="n">
        <x:v>95.25</x:v>
      </x:c>
      <x:c r="C33" s="11" t="n">
        <x:v>317.5</x:v>
      </x:c>
      <x:c r="D33" s="13" t="n">
        <x:f>ROUND(C33-B33,2)</x:f>
        <x:v>222.25</x:v>
      </x:c>
    </x:row>
    <x:row r="34" ht="46" customHeight="1">
      <x:c r="A34" s="14" t="str">
        <x:v>7330 TOWN HALL RD, BELLEVILLE, IL 62223</x:v>
      </x:c>
      <x:c r="B34" s="15" t="n">
        <x:v>14.07</x:v>
      </x:c>
      <x:c r="C34" s="15" t="n">
        <x:v>46.89</x:v>
      </x:c>
      <x:c r="D34" s="13" t="n">
        <x:f>ROUND(C34-B34,2)</x:f>
        <x:v>32.82</x:v>
      </x:c>
    </x:row>
    <x:row r="35" ht="46" customHeight="1">
      <x:c r="A35" s="9" t="str">
        <x:v>7336 TOWN HALL RD, BELLEVILLE, IL 62223</x:v>
      </x:c>
      <x:c r="B35" s="11" t="n">
        <x:v>27.56</x:v>
      </x:c>
      <x:c r="C35" s="11" t="n">
        <x:v>91.88</x:v>
      </x:c>
      <x:c r="D35" s="13" t="n">
        <x:f>ROUND(C35-B35,2)</x:f>
        <x:v>64.32</x:v>
      </x:c>
    </x:row>
    <x:row r="36" ht="46" customHeight="1">
      <x:c r="A36" s="14" t="str">
        <x:v>7360 TOWN HALL RD, BELLEVILLE, IL 62223</x:v>
      </x:c>
      <x:c r="B36" s="15" t="n">
        <x:v>34.99</x:v>
      </x:c>
      <x:c r="C36" s="15" t="n">
        <x:v>116.63</x:v>
      </x:c>
      <x:c r="D36" s="13" t="n">
        <x:f>ROUND(C36-B36,2)</x:f>
        <x:v>81.64</x:v>
      </x:c>
    </x:row>
    <x:row r="37" ht="46" customHeight="1">
      <x:c r="A37" s="9" t="str">
        <x:v>7372 TOWN HALL RD, BELLEVILLE, IL 62223</x:v>
      </x:c>
      <x:c r="B37" s="11" t="n">
        <x:v>48.61</x:v>
      </x:c>
      <x:c r="C37" s="11" t="n">
        <x:v>162.02</x:v>
      </x:c>
      <x:c r="D37" s="13" t="n">
        <x:f>ROUND(C37-B37,2)</x:f>
        <x:v>113.41</x:v>
      </x:c>
    </x:row>
  </x:sheetData>
  <x:sheetProtection algorithmName="SHA-512" hashValue="1F5NCOC1R1ZZmdozkPuQ87MeibfbSNpYZBD4R/d6TuV+cKV+sIMpkLzzYyc6OyeW5c9LroMIue+RpRGJlxno+Q==" saltValue="6VqhY0t/uAAIgdIqIvk/VQ==" spinCount="100000" sheet="1" objects="1" scenarios="1"/>
  <x:pageMargins left="0.7" right="0.7" top="0.75" bottom="0.75" header="0.3" footer="0.3"/>
</x:worksheet>
</file>