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b857ae093471b" /></Relationships>
</file>

<file path=xl/workbook.xml><?xml version="1.0" encoding="utf-8"?>
<x:workbook xmlns:x="http://schemas.openxmlformats.org/spreadsheetml/2006/main">
  <x:workbookProtection workbookAlgorithmName="SHA-512" workbookHashValue="2E0vKH6vP8GzcUvH8TpjsWL2d/379cPjaW3KHb/dboQorcklLHO7LP3sQiE/5CsXHLyRUjm/ANFl6y+7dWCEqw==" workbookSaltValue="B3WY6JbHU9Ad7VA8ruPLFA==" workbookSpinCount="100000" lockStructure="1"/>
  <x:sheets>
    <x:sheet xmlns:r="http://schemas.openxmlformats.org/officeDocument/2006/relationships" name="Annual EMS taxes" sheetId="1" r:id="Refa4292018d7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57ba4e5044305" /><Relationship Type="http://schemas.openxmlformats.org/officeDocument/2006/relationships/theme" Target="/xl/theme/theme1.xml" Id="Rfc0ca6164a8145a8" /><Relationship Type="http://schemas.openxmlformats.org/officeDocument/2006/relationships/sharedStrings" Target="/xl/sharedStrings.xml" Id="R927370ff93d74d50" /><Relationship Type="http://schemas.openxmlformats.org/officeDocument/2006/relationships/worksheet" Target="/xl/worksheets/sheet1.xml" Id="Refa4292018d7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MILLSTADT; ORIG TOWNOF CENTREVILLE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11 S JEFFERSON ST, MILLSTADT, IL 62260</x:v>
      </x:c>
      <x:c r="B7" s="11" t="n">
        <x:v>12.24</x:v>
      </x:c>
      <x:c r="C7" s="11" t="n">
        <x:v>40.81</x:v>
      </x:c>
      <x:c r="D7" s="13" t="n">
        <x:f>ROUND(C7-B7,2)</x:f>
        <x:v>28.57</x:v>
      </x:c>
    </x:row>
    <x:row r="8" ht="46" customHeight="1">
      <x:c r="A8" s="14" t="str">
        <x:v>17 S JEFFERSON ST, MILLSTADT, IL 62260</x:v>
      </x:c>
      <x:c r="B8" s="15" t="n">
        <x:v>27.55</x:v>
      </x:c>
      <x:c r="C8" s="15" t="n">
        <x:v>91.82</x:v>
      </x:c>
      <x:c r="D8" s="13" t="n">
        <x:f>ROUND(C8-B8,2)</x:f>
        <x:v>64.27</x:v>
      </x:c>
    </x:row>
    <x:row r="9" ht="46" customHeight="1">
      <x:c r="A9" s="9" t="str">
        <x:v>105 S JEFFERSON ST, MILLSTADT, IL 62260</x:v>
      </x:c>
      <x:c r="B9" s="11" t="n">
        <x:v>142.72</x:v>
      </x:c>
      <x:c r="C9" s="11" t="n">
        <x:v>475.75</x:v>
      </x:c>
      <x:c r="D9" s="13" t="n">
        <x:f>ROUND(C9-B9,2)</x:f>
        <x:v>333.03</x:v>
      </x:c>
    </x:row>
    <x:row r="10" ht="46" customHeight="1">
      <x:c r="A10" s="14" t="str">
        <x:v>12 S MAIN ST, MILLSTADT, IL 62260</x:v>
      </x:c>
      <x:c r="B10" s="15" t="n">
        <x:v>47.18</x:v>
      </x:c>
      <x:c r="C10" s="15" t="n">
        <x:v>157.26</x:v>
      </x:c>
      <x:c r="D10" s="13" t="n">
        <x:f>ROUND(C10-B10,2)</x:f>
        <x:v>110.08</x:v>
      </x:c>
    </x:row>
    <x:row r="11" ht="46" customHeight="1">
      <x:c r="A11" s="9" t="str">
        <x:v>14 S MONROE ST, MILLSTADT, IL 62260</x:v>
      </x:c>
      <x:c r="B11" s="11" t="n">
        <x:v>71.59</x:v>
      </x:c>
      <x:c r="C11" s="11" t="n">
        <x:v>238.62</x:v>
      </x:c>
      <x:c r="D11" s="13" t="n">
        <x:f>ROUND(C11-B11,2)</x:f>
        <x:v>167.03</x:v>
      </x:c>
    </x:row>
    <x:row r="12" ht="46" customHeight="1">
      <x:c r="A12" s="14" t="str">
        <x:v>9 W MADISON ST, MILLSTADT, IL 62260</x:v>
      </x:c>
      <x:c r="B12" s="15" t="n">
        <x:v>23.5</x:v>
      </x:c>
      <x:c r="C12" s="15" t="n">
        <x:v>78.32</x:v>
      </x:c>
      <x:c r="D12" s="13" t="n">
        <x:f>ROUND(C12-B12,2)</x:f>
        <x:v>54.82</x:v>
      </x:c>
    </x:row>
    <x:row r="13" ht="46" customHeight="1">
      <x:c r="A13" s="9" t="str">
        <x:v>16 W MADISON ST, MILLSTADT, IL 62260</x:v>
      </x:c>
      <x:c r="B13" s="11" t="n">
        <x:v>44.23</x:v>
      </x:c>
      <x:c r="C13" s="11" t="n">
        <x:v>147.43</x:v>
      </x:c>
      <x:c r="D13" s="13" t="n">
        <x:f>ROUND(C13-B13,2)</x:f>
        <x:v>103.2</x:v>
      </x:c>
    </x:row>
    <x:row r="14" ht="46" customHeight="1">
      <x:c r="A14" s="14" t="str">
        <x:v>19 W MADISON ST, MILLSTADT, IL 62260</x:v>
      </x:c>
      <x:c r="B14" s="15" t="n">
        <x:v>54.76</x:v>
      </x:c>
      <x:c r="C14" s="15" t="n">
        <x:v>182.52</x:v>
      </x:c>
      <x:c r="D14" s="13" t="n">
        <x:f>ROUND(C14-B14,2)</x:f>
        <x:v>127.76</x:v>
      </x:c>
    </x:row>
    <x:row r="15" ht="46" customHeight="1">
      <x:c r="A15" s="9" t="str">
        <x:v>20 W MADISON ST, MILLSTADT, IL 62260</x:v>
      </x:c>
      <x:c r="B15" s="11" t="n">
        <x:v>35.52</x:v>
      </x:c>
      <x:c r="C15" s="11" t="n">
        <x:v>118.41</x:v>
      </x:c>
      <x:c r="D15" s="13" t="n">
        <x:f>ROUND(C15-B15,2)</x:f>
        <x:v>82.89</x:v>
      </x:c>
    </x:row>
    <x:row r="16" ht="46" customHeight="1">
      <x:c r="A16" s="14" t="str">
        <x:v>103 W MADISON ST, MILLSTADT, IL 62260</x:v>
      </x:c>
      <x:c r="B16" s="15" t="n">
        <x:v>62.06</x:v>
      </x:c>
      <x:c r="C16" s="15" t="n">
        <x:v>206.85</x:v>
      </x:c>
      <x:c r="D16" s="13" t="n">
        <x:f>ROUND(C16-B16,2)</x:f>
        <x:v>144.79</x:v>
      </x:c>
    </x:row>
    <x:row r="17" ht="46" customHeight="1">
      <x:c r="A17" s="9" t="str">
        <x:v>111 W MADISON ST, MILLSTADT, IL 62260</x:v>
      </x:c>
      <x:c r="B17" s="11" t="n">
        <x:v>32.71</x:v>
      </x:c>
      <x:c r="C17" s="11" t="n">
        <x:v>109.02</x:v>
      </x:c>
      <x:c r="D17" s="13" t="n">
        <x:f>ROUND(C17-B17,2)</x:f>
        <x:v>76.31</x:v>
      </x:c>
    </x:row>
    <x:row r="18" ht="46" customHeight="1">
      <x:c r="A18" s="14" t="str">
        <x:v>118 W MADISON ST, MILLSTADT, IL 62260
Parcel 12-09.0-414-001</x:v>
      </x:c>
      <x:c r="B18" s="15" t="n">
        <x:v>0</x:v>
      </x:c>
      <x:c r="C18" s="15" t="n">
        <x:v>0</x:v>
      </x:c>
      <x:c r="D18" s="13" t="n">
        <x:f>ROUND(C18-B18,2)</x:f>
        <x:v>0</x:v>
      </x:c>
    </x:row>
    <x:row r="19" ht="46" customHeight="1">
      <x:c r="A19" s="9" t="str">
        <x:v>118 W MADISON ST, MILLSTADT, IL 62260
Parcel 12-09.0-414-002</x:v>
      </x:c>
      <x:c r="B19" s="11" t="n">
        <x:v>0</x:v>
      </x:c>
      <x:c r="C19" s="11" t="n">
        <x:v>0</x:v>
      </x:c>
      <x:c r="D19" s="13" t="n">
        <x:f>ROUND(C19-B19,2)</x:f>
        <x:v>0</x:v>
      </x:c>
    </x:row>
    <x:row r="20" ht="46" customHeight="1">
      <x:c r="A20" s="14" t="str">
        <x:v>119 W MADISON ST, MILLSTADT, IL 62260</x:v>
      </x:c>
      <x:c r="B20" s="15" t="n">
        <x:v>86.49</x:v>
      </x:c>
      <x:c r="C20" s="15" t="n">
        <x:v>288.29</x:v>
      </x:c>
      <x:c r="D20" s="13" t="n">
        <x:f>ROUND(C20-B20,2)</x:f>
        <x:v>201.8</x:v>
      </x:c>
    </x:row>
    <x:row r="21" ht="46" customHeight="1">
      <x:c r="A21" s="9" t="str">
        <x:v>2 W WASHINGTON, MILLSTADT, IL 62260</x:v>
      </x:c>
      <x:c r="B21" s="11" t="n">
        <x:v>84.34</x:v>
      </x:c>
      <x:c r="C21" s="11" t="n">
        <x:v>281.12</x:v>
      </x:c>
      <x:c r="D21" s="13" t="n">
        <x:f>ROUND(C21-B21,2)</x:f>
        <x:v>196.78</x:v>
      </x:c>
    </x:row>
    <x:row r="22" ht="46" customHeight="1">
      <x:c r="A22" s="14" t="str">
        <x:v>120 W WASHINGTON, MILLSTADT, IL 62260</x:v>
      </x:c>
      <x:c r="B22" s="15" t="n">
        <x:v>103.89</x:v>
      </x:c>
      <x:c r="C22" s="15" t="n">
        <x:v>346.29</x:v>
      </x:c>
      <x:c r="D22" s="13" t="n">
        <x:f>ROUND(C22-B22,2)</x:f>
        <x:v>242.4</x:v>
      </x:c>
    </x:row>
    <x:row r="23" ht="46" customHeight="1">
      <x:c r="A23" s="9" t="str">
        <x:v>1 W WASHINGTON ST, MILLSTADT, IL 62260
Parcel 12-09.0-220-010</x:v>
      </x:c>
      <x:c r="B23" s="11" t="n">
        <x:v>15.61</x:v>
      </x:c>
      <x:c r="C23" s="11" t="n">
        <x:v>52.02</x:v>
      </x:c>
      <x:c r="D23" s="13" t="n">
        <x:f>ROUND(C23-B23,2)</x:f>
        <x:v>36.41</x:v>
      </x:c>
    </x:row>
    <x:row r="24" ht="46" customHeight="1">
      <x:c r="A24" s="14" t="str">
        <x:v>1 W WASHINGTON ST, MILLSTADT, IL 62260
Parcel 12-09.0-220-011</x:v>
      </x:c>
      <x:c r="B24" s="15" t="n">
        <x:v>50.94</x:v>
      </x:c>
      <x:c r="C24" s="15" t="n">
        <x:v>169.8</x:v>
      </x:c>
      <x:c r="D24" s="13" t="n">
        <x:f>ROUND(C24-B24,2)</x:f>
        <x:v>118.86</x:v>
      </x:c>
    </x:row>
    <x:row r="25" ht="46" customHeight="1">
      <x:c r="A25" s="9" t="str">
        <x:v>13 W WASHINGTON ST, MILLSTADT, IL 62260</x:v>
      </x:c>
      <x:c r="B25" s="11" t="n">
        <x:v>134.49</x:v>
      </x:c>
      <x:c r="C25" s="11" t="n">
        <x:v>448.31</x:v>
      </x:c>
      <x:c r="D25" s="13" t="n">
        <x:f>ROUND(C25-B25,2)</x:f>
        <x:v>313.82</x:v>
      </x:c>
    </x:row>
    <x:row r="26" ht="46" customHeight="1">
      <x:c r="A26" s="14" t="str">
        <x:v>15 W WASHINGTON ST, MILLSTADT, IL 62260</x:v>
      </x:c>
      <x:c r="B26" s="15" t="n">
        <x:v>65.19</x:v>
      </x:c>
      <x:c r="C26" s="15" t="n">
        <x:v>217.31</x:v>
      </x:c>
      <x:c r="D26" s="13" t="n">
        <x:f>ROUND(C26-B26,2)</x:f>
        <x:v>152.12</x:v>
      </x:c>
    </x:row>
    <x:row r="27" ht="46" customHeight="1">
      <x:c r="A27" s="9" t="str">
        <x:v>19 W WASHINGTON ST, MILLSTADT, IL 62260</x:v>
      </x:c>
      <x:c r="B27" s="11" t="n">
        <x:v>99.85</x:v>
      </x:c>
      <x:c r="C27" s="11" t="n">
        <x:v>332.83</x:v>
      </x:c>
      <x:c r="D27" s="13" t="n">
        <x:f>ROUND(C27-B27,2)</x:f>
        <x:v>232.98</x:v>
      </x:c>
    </x:row>
    <x:row r="28" ht="46" customHeight="1">
      <x:c r="A28" s="14" t="str">
        <x:v>20 W WASHINGTON ST, MILLSTADT, IL 62260</x:v>
      </x:c>
      <x:c r="B28" s="15" t="n">
        <x:v>44.59</x:v>
      </x:c>
      <x:c r="C28" s="15" t="n">
        <x:v>148.63</x:v>
      </x:c>
      <x:c r="D28" s="13" t="n">
        <x:f>ROUND(C28-B28,2)</x:f>
        <x:v>104.04</x:v>
      </x:c>
    </x:row>
    <x:row r="29" ht="46" customHeight="1">
      <x:c r="A29" s="9" t="str">
        <x:v>101 W WASHINGTON ST, MILLSTADT, IL 62260</x:v>
      </x:c>
      <x:c r="B29" s="11" t="n">
        <x:v>33.84</x:v>
      </x:c>
      <x:c r="C29" s="11" t="n">
        <x:v>112.8</x:v>
      </x:c>
      <x:c r="D29" s="13" t="n">
        <x:f>ROUND(C29-B29,2)</x:f>
        <x:v>78.96</x:v>
      </x:c>
    </x:row>
    <x:row r="30" ht="46" customHeight="1">
      <x:c r="A30" s="14" t="str">
        <x:v>104 W WASHINGTON ST, MILLSTADT, IL 62260 (UNITS A - B)</x:v>
      </x:c>
      <x:c r="B30" s="15" t="n">
        <x:v>74.13</x:v>
      </x:c>
      <x:c r="C30" s="15" t="n">
        <x:v>247.1</x:v>
      </x:c>
      <x:c r="D30" s="13" t="n">
        <x:f>ROUND(C30-B30,2)</x:f>
        <x:v>172.97</x:v>
      </x:c>
    </x:row>
    <x:row r="31" ht="46" customHeight="1">
      <x:c r="A31" s="9" t="str">
        <x:v>105 W WASHINGTON ST, MILLSTADT, IL 62260</x:v>
      </x:c>
      <x:c r="B31" s="11" t="n">
        <x:v>36.33</x:v>
      </x:c>
      <x:c r="C31" s="11" t="n">
        <x:v>121.1</x:v>
      </x:c>
      <x:c r="D31" s="13" t="n">
        <x:f>ROUND(C31-B31,2)</x:f>
        <x:v>84.77</x:v>
      </x:c>
    </x:row>
    <x:row r="32" ht="46" customHeight="1">
      <x:c r="A32" s="14" t="str">
        <x:v>108 W WASHINGTON ST, MILLSTADT, IL 62260</x:v>
      </x:c>
      <x:c r="B32" s="15" t="n">
        <x:v>16.37</x:v>
      </x:c>
      <x:c r="C32" s="15" t="n">
        <x:v>54.55</x:v>
      </x:c>
      <x:c r="D32" s="13" t="n">
        <x:f>ROUND(C32-B32,2)</x:f>
        <x:v>38.18</x:v>
      </x:c>
    </x:row>
    <x:row r="33" ht="46" customHeight="1">
      <x:c r="A33" s="9" t="str">
        <x:v>109 W WASHINGTON ST, MILLSTADT, IL 62260
Parcel 12-09.0-219-010</x:v>
      </x:c>
      <x:c r="B33" s="11" t="n">
        <x:v>80.14</x:v>
      </x:c>
      <x:c r="C33" s="11" t="n">
        <x:v>267.13</x:v>
      </x:c>
      <x:c r="D33" s="13" t="n">
        <x:f>ROUND(C33-B33,2)</x:f>
        <x:v>186.99</x:v>
      </x:c>
    </x:row>
    <x:row r="34" ht="46" customHeight="1">
      <x:c r="A34" s="14" t="str">
        <x:v>115 W WASHINGTON ST, MILLSTADT, IL 62260</x:v>
      </x:c>
      <x:c r="B34" s="15" t="n">
        <x:v>61.84</x:v>
      </x:c>
      <x:c r="C34" s="15" t="n">
        <x:v>206.12</x:v>
      </x:c>
      <x:c r="D34" s="13" t="n">
        <x:f>ROUND(C34-B34,2)</x:f>
        <x:v>144.28</x:v>
      </x:c>
    </x:row>
    <x:row r="35" ht="46" customHeight="1">
      <x:c r="A35" s="9" t="str">
        <x:v>119 W WASHINGTON ST, MILLSTADT, IL 62260</x:v>
      </x:c>
      <x:c r="B35" s="11" t="n">
        <x:v>49.59</x:v>
      </x:c>
      <x:c r="C35" s="11" t="n">
        <x:v>165.3</x:v>
      </x:c>
      <x:c r="D35" s="13" t="n">
        <x:f>ROUND(C35-B35,2)</x:f>
        <x:v>115.71</x:v>
      </x:c>
    </x:row>
  </x:sheetData>
  <x:sheetProtection algorithmName="SHA-512" hashValue="2E0vKH6vP8GzcUvH8TpjsWL2d/379cPjaW3KHb/dboQorcklLHO7LP3sQiE/5CsXHLyRUjm/ANFl6y+7dWCEqw==" saltValue="B3WY6JbHU9Ad7VA8ruPLFA==" spinCount="100000" sheet="1" objects="1" scenarios="1"/>
  <x:pageMargins left="0.7" right="0.7" top="0.75" bottom="0.75" header="0.3" footer="0.3"/>
</x:worksheet>
</file>