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4ef9f7210543cd" /></Relationships>
</file>

<file path=xl/workbook.xml><?xml version="1.0" encoding="utf-8"?>
<x:workbook xmlns:x="http://schemas.openxmlformats.org/spreadsheetml/2006/main">
  <x:workbookProtection workbookAlgorithmName="SHA-512" workbookHashValue="KFvLKDYJEfcHBBHfhTEZo3J9d3EkbEd+z5wgYiSlIupTOIjTUzHzne6pLdqsW9p+LaNUyheUqNY9AfY+WLI7AA==" workbookSaltValue="hrrtRZzrb81dF9GInFpx0g==" workbookSpinCount="100000" lockStructure="1"/>
  <x:sheets>
    <x:sheet xmlns:r="http://schemas.openxmlformats.org/officeDocument/2006/relationships" name="Annual EMS taxes" sheetId="1" r:id="R62b3368f9d3a47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c2c66cc15f4de7" /><Relationship Type="http://schemas.openxmlformats.org/officeDocument/2006/relationships/theme" Target="/xl/theme/theme1.xml" Id="R137038b5781b4e11" /><Relationship Type="http://schemas.openxmlformats.org/officeDocument/2006/relationships/sharedStrings" Target="/xl/sharedStrings.xml" Id="Rbd97e97cff6f4b91" /><Relationship Type="http://schemas.openxmlformats.org/officeDocument/2006/relationships/worksheet" Target="/xl/worksheets/sheet1.xml" Id="R62b3368f9d3a47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STOOKEY TWP SEC 17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2909 IMBS STATION RD, MILLSTADT, IL 62260</x:v>
      </x:c>
      <x:c r="B7" s="11" t="n">
        <x:v>37.09</x:v>
      </x:c>
      <x:c r="C7" s="11" t="n">
        <x:v>123.63</x:v>
      </x:c>
      <x:c r="D7" s="13" t="n">
        <x:f>ROUND(C7-B7,2)</x:f>
        <x:v>86.54</x:v>
      </x:c>
    </x:row>
    <x:row r="8" ht="46" customHeight="1">
      <x:c r="A8" s="14" t="str">
        <x:v>2913 IMBS STATION RD, MILLSTADT, IL 62260</x:v>
      </x:c>
      <x:c r="B8" s="15" t="n">
        <x:v>16.38</x:v>
      </x:c>
      <x:c r="C8" s="15" t="n">
        <x:v>54.61</x:v>
      </x:c>
      <x:c r="D8" s="13" t="n">
        <x:f>ROUND(C8-B8,2)</x:f>
        <x:v>38.23</x:v>
      </x:c>
    </x:row>
    <x:row r="9" ht="46" customHeight="1">
      <x:c r="A9" s="9" t="str">
        <x:v>3033 IMBS STATION RD, MILLSTADT, IL 62260</x:v>
      </x:c>
      <x:c r="B9" s="11" t="n">
        <x:v>69.7</x:v>
      </x:c>
      <x:c r="C9" s="11" t="n">
        <x:v>232.35</x:v>
      </x:c>
      <x:c r="D9" s="13" t="n">
        <x:f>ROUND(C9-B9,2)</x:f>
        <x:v>162.65</x:v>
      </x:c>
    </x:row>
    <x:row r="10" ht="46" customHeight="1">
      <x:c r="A10" s="14" t="str">
        <x:v>3101 IMBS STATION RD, MILLSTADT, IL 62260</x:v>
      </x:c>
      <x:c r="B10" s="15" t="n">
        <x:v>39.44</x:v>
      </x:c>
      <x:c r="C10" s="15" t="n">
        <x:v>131.47</x:v>
      </x:c>
      <x:c r="D10" s="13" t="n">
        <x:f>ROUND(C10-B10,2)</x:f>
        <x:v>92.03</x:v>
      </x:c>
    </x:row>
    <x:row r="11" ht="46" customHeight="1">
      <x:c r="A11" s="9" t="str">
        <x:v>3119 IMBS STATION RD, MILLSTADT, IL 62260</x:v>
      </x:c>
      <x:c r="B11" s="11" t="n">
        <x:v>48.82</x:v>
      </x:c>
      <x:c r="C11" s="11" t="n">
        <x:v>162.74</x:v>
      </x:c>
      <x:c r="D11" s="13" t="n">
        <x:f>ROUND(C11-B11,2)</x:f>
        <x:v>113.92</x:v>
      </x:c>
    </x:row>
    <x:row r="12" ht="46" customHeight="1">
      <x:c r="A12" s="14" t="str">
        <x:v>3131 IMBS STATION RD, MILLSTADT, IL 62260</x:v>
      </x:c>
      <x:c r="B12" s="15" t="n">
        <x:v>48.22</x:v>
      </x:c>
      <x:c r="C12" s="15" t="n">
        <x:v>160.73</x:v>
      </x:c>
      <x:c r="D12" s="13" t="n">
        <x:f>ROUND(C12-B12,2)</x:f>
        <x:v>112.51</x:v>
      </x:c>
    </x:row>
    <x:row r="13" ht="46" customHeight="1">
      <x:c r="A13" s="9" t="str">
        <x:v>3137 IMBS STATION RD, MILLSTADT, IL 62260</x:v>
      </x:c>
      <x:c r="B13" s="11" t="n">
        <x:v>85.54</x:v>
      </x:c>
      <x:c r="C13" s="11" t="n">
        <x:v>285.14</x:v>
      </x:c>
      <x:c r="D13" s="13" t="n">
        <x:f>ROUND(C13-B13,2)</x:f>
        <x:v>199.6</x:v>
      </x:c>
    </x:row>
    <x:row r="14" ht="46" customHeight="1">
      <x:c r="A14" s="14" t="str">
        <x:v>3143 IMBS STATION RD, MILLSTADT, IL 62260</x:v>
      </x:c>
      <x:c r="B14" s="15" t="n">
        <x:v>77.5</x:v>
      </x:c>
      <x:c r="C14" s="15" t="n">
        <x:v>258.34</x:v>
      </x:c>
      <x:c r="D14" s="13" t="n">
        <x:f>ROUND(C14-B14,2)</x:f>
        <x:v>180.84</x:v>
      </x:c>
    </x:row>
    <x:row r="15" ht="46" customHeight="1">
      <x:c r="A15" s="9" t="str">
        <x:v>8706 LAKEVIEW HILLS, MILLSTADT, IL 62260</x:v>
      </x:c>
      <x:c r="B15" s="11" t="n">
        <x:v>30.02</x:v>
      </x:c>
      <x:c r="C15" s="11" t="n">
        <x:v>100.06</x:v>
      </x:c>
      <x:c r="D15" s="13" t="n">
        <x:f>ROUND(C15-B15,2)</x:f>
        <x:v>70.04</x:v>
      </x:c>
    </x:row>
    <x:row r="16" ht="46" customHeight="1">
      <x:c r="A16" s="14" t="str">
        <x:v>8709 LAKEVIEW HILLS, MILLSTADT, IL 62260</x:v>
      </x:c>
      <x:c r="B16" s="15" t="n">
        <x:v>39.27</x:v>
      </x:c>
      <x:c r="C16" s="15" t="n">
        <x:v>130.89</x:v>
      </x:c>
      <x:c r="D16" s="13" t="n">
        <x:f>ROUND(C16-B16,2)</x:f>
        <x:v>91.62</x:v>
      </x:c>
    </x:row>
    <x:row r="17" ht="46" customHeight="1">
      <x:c r="A17" s="9" t="str">
        <x:v>8712 LAKEVIEW HILLS, MILLSTADT, IL 62260</x:v>
      </x:c>
      <x:c r="B17" s="11" t="n">
        <x:v>19.66</x:v>
      </x:c>
      <x:c r="C17" s="11" t="n">
        <x:v>65.53</x:v>
      </x:c>
      <x:c r="D17" s="13" t="n">
        <x:f>ROUND(C17-B17,2)</x:f>
        <x:v>45.87</x:v>
      </x:c>
    </x:row>
    <x:row r="18" ht="46" customHeight="1">
      <x:c r="A18" s="14" t="str">
        <x:v>8715 LAKEVIEW HILLS, MILLSTADT, IL 62260</x:v>
      </x:c>
      <x:c r="B18" s="15" t="n">
        <x:v>46.16</x:v>
      </x:c>
      <x:c r="C18" s="15" t="n">
        <x:v>153.88</x:v>
      </x:c>
      <x:c r="D18" s="13" t="n">
        <x:f>ROUND(C18-B18,2)</x:f>
        <x:v>107.72</x:v>
      </x:c>
    </x:row>
    <x:row r="19" ht="46" customHeight="1">
      <x:c r="A19" s="9" t="str">
        <x:v>8721 LAKEVIEW HILLS, MILLSTADT, IL 62260</x:v>
      </x:c>
      <x:c r="B19" s="11" t="n">
        <x:v>30.34</x:v>
      </x:c>
      <x:c r="C19" s="11" t="n">
        <x:v>101.14</x:v>
      </x:c>
      <x:c r="D19" s="13" t="n">
        <x:f>ROUND(C19-B19,2)</x:f>
        <x:v>70.8</x:v>
      </x:c>
    </x:row>
    <x:row r="20" ht="46" customHeight="1">
      <x:c r="A20" s="14" t="str">
        <x:v>8727 LAKEVIEW HILLS, MILLSTADT, IL 62260</x:v>
      </x:c>
      <x:c r="B20" s="15" t="n">
        <x:v>25.12</x:v>
      </x:c>
      <x:c r="C20" s="15" t="n">
        <x:v>83.75</x:v>
      </x:c>
      <x:c r="D20" s="13" t="n">
        <x:f>ROUND(C20-B20,2)</x:f>
        <x:v>58.63</x:v>
      </x:c>
    </x:row>
    <x:row r="21" ht="46" customHeight="1">
      <x:c r="A21" s="9" t="str">
        <x:v>8740 LAKEVIEW HILLS, MILLSTADT, IL 62260</x:v>
      </x:c>
      <x:c r="B21" s="11" t="n">
        <x:v>32.72</x:v>
      </x:c>
      <x:c r="C21" s="11" t="n">
        <x:v>109.07</x:v>
      </x:c>
      <x:c r="D21" s="13" t="n">
        <x:f>ROUND(C21-B21,2)</x:f>
        <x:v>76.35</x:v>
      </x:c>
    </x:row>
    <x:row r="22" ht="46" customHeight="1">
      <x:c r="A22" s="14" t="str">
        <x:v>8731 LAKEVIEW HILLS RD, MILLSTADT, IL 62260</x:v>
      </x:c>
      <x:c r="B22" s="15" t="n">
        <x:v>52.37</x:v>
      </x:c>
      <x:c r="C22" s="15" t="n">
        <x:v>174.55</x:v>
      </x:c>
      <x:c r="D22" s="13" t="n">
        <x:f>ROUND(C22-B22,2)</x:f>
        <x:v>122.18</x:v>
      </x:c>
    </x:row>
    <x:row r="23" ht="46" customHeight="1">
      <x:c r="A23" s="9" t="str">
        <x:v>8735 LAKEVIEW HILLS RD, MILLSTADT, IL 62260</x:v>
      </x:c>
      <x:c r="B23" s="11" t="n">
        <x:v>73.8</x:v>
      </x:c>
      <x:c r="C23" s="11" t="n">
        <x:v>246.01</x:v>
      </x:c>
      <x:c r="D23" s="13" t="n">
        <x:f>ROUND(C23-B23,2)</x:f>
        <x:v>172.21</x:v>
      </x:c>
    </x:row>
    <x:row r="24" ht="46" customHeight="1">
      <x:c r="A24" s="14" t="str">
        <x:v>8731 LE PERE SCHOOL RD, MILLSTADT, IL 62260</x:v>
      </x:c>
      <x:c r="B24" s="15" t="n">
        <x:v>23.21</x:v>
      </x:c>
      <x:c r="C24" s="15" t="n">
        <x:v>77.38</x:v>
      </x:c>
      <x:c r="D24" s="13" t="n">
        <x:f>ROUND(C24-B24,2)</x:f>
        <x:v>54.17</x:v>
      </x:c>
    </x:row>
    <x:row r="25" ht="46" customHeight="1">
      <x:c r="A25" s="9" t="str">
        <x:v>8737 LE PERE SCHOOL RD, MILLSTADT, IL 62260</x:v>
      </x:c>
      <x:c r="B25" s="11" t="n">
        <x:v>44.74</x:v>
      </x:c>
      <x:c r="C25" s="11" t="n">
        <x:v>149.15</x:v>
      </x:c>
      <x:c r="D25" s="13" t="n">
        <x:f>ROUND(C25-B25,2)</x:f>
        <x:v>104.41</x:v>
      </x:c>
    </x:row>
    <x:row r="26" ht="46" customHeight="1">
      <x:c r="A26" s="14" t="str">
        <x:v>8743 LE PERE SCHOOL RD, MILLSTADT, IL 62260</x:v>
      </x:c>
      <x:c r="B26" s="15" t="n">
        <x:v>15.52</x:v>
      </x:c>
      <x:c r="C26" s="15" t="n">
        <x:v>51.73</x:v>
      </x:c>
      <x:c r="D26" s="13" t="n">
        <x:f>ROUND(C26-B26,2)</x:f>
        <x:v>36.21</x:v>
      </x:c>
    </x:row>
    <x:row r="27" ht="46" customHeight="1">
      <x:c r="A27" s="9" t="str">
        <x:v>8749 LE PERE SCHOOL RD, MILLSTADT, IL 62260</x:v>
      </x:c>
      <x:c r="B27" s="11" t="n">
        <x:v>3.36</x:v>
      </x:c>
      <x:c r="C27" s="11" t="n">
        <x:v>11.19</x:v>
      </x:c>
      <x:c r="D27" s="13" t="n">
        <x:f>ROUND(C27-B27,2)</x:f>
        <x:v>7.83</x:v>
      </x:c>
    </x:row>
    <x:row r="28" ht="46" customHeight="1">
      <x:c r="A28" s="14" t="str">
        <x:v>8801 LE PERE SCHOOL RD, MILLSTADT, IL 62260</x:v>
      </x:c>
      <x:c r="B28" s="15" t="n">
        <x:v>21.55</x:v>
      </x:c>
      <x:c r="C28" s="15" t="n">
        <x:v>71.83</x:v>
      </x:c>
      <x:c r="D28" s="13" t="n">
        <x:f>ROUND(C28-B28,2)</x:f>
        <x:v>50.28</x:v>
      </x:c>
    </x:row>
    <x:row r="29" ht="46" customHeight="1">
      <x:c r="A29" s="9" t="str">
        <x:v>2900 MULLINS RD, MILLSTADT, IL 62260</x:v>
      </x:c>
      <x:c r="B29" s="11" t="n">
        <x:v>0.7</x:v>
      </x:c>
      <x:c r="C29" s="11" t="n">
        <x:v>2.33</x:v>
      </x:c>
      <x:c r="D29" s="13" t="n">
        <x:f>ROUND(C29-B29,2)</x:f>
        <x:v>1.63</x:v>
      </x:c>
    </x:row>
    <x:row r="30" ht="46" customHeight="1">
      <x:c r="A30" s="14" t="str">
        <x:v>2901 MULLINS RD, MILLSTADT, IL 62260</x:v>
      </x:c>
      <x:c r="B30" s="15" t="n">
        <x:v>116.25</x:v>
      </x:c>
      <x:c r="C30" s="15" t="n">
        <x:v>387.49</x:v>
      </x:c>
      <x:c r="D30" s="13" t="n">
        <x:f>ROUND(C30-B30,2)</x:f>
        <x:v>271.24</x:v>
      </x:c>
    </x:row>
    <x:row r="31" ht="46" customHeight="1">
      <x:c r="A31" s="9" t="str">
        <x:v>3001 SOUTHWOOD DR, MILLSTADT, IL 62260</x:v>
      </x:c>
      <x:c r="B31" s="11" t="n">
        <x:v>78.77</x:v>
      </x:c>
      <x:c r="C31" s="11" t="n">
        <x:v>262.57</x:v>
      </x:c>
      <x:c r="D31" s="13" t="n">
        <x:f>ROUND(C31-B31,2)</x:f>
        <x:v>183.8</x:v>
      </x:c>
    </x:row>
    <x:row r="32" ht="46" customHeight="1">
      <x:c r="A32" s="14" t="str">
        <x:v>3014 SOUTHWOOD DR, MILLSTADT, IL 62260</x:v>
      </x:c>
      <x:c r="B32" s="15" t="n">
        <x:v>62</x:v>
      </x:c>
      <x:c r="C32" s="15" t="n">
        <x:v>206.66</x:v>
      </x:c>
      <x:c r="D32" s="13" t="n">
        <x:f>ROUND(C32-B32,2)</x:f>
        <x:v>144.66</x:v>
      </x:c>
    </x:row>
    <x:row r="33" ht="46" customHeight="1">
      <x:c r="A33" s="9" t="str">
        <x:v>3033 SOUTHWOOD DR, MILLSTADT, IL 62260</x:v>
      </x:c>
      <x:c r="B33" s="11" t="n">
        <x:v>71.28</x:v>
      </x:c>
      <x:c r="C33" s="11" t="n">
        <x:v>237.61</x:v>
      </x:c>
      <x:c r="D33" s="13" t="n">
        <x:f>ROUND(C33-B33,2)</x:f>
        <x:v>166.33</x:v>
      </x:c>
    </x:row>
    <x:row r="34" ht="46" customHeight="1">
      <x:c r="A34" s="14" t="str">
        <x:v>8435 TEBBY LN, MILLSTADT, IL 62260</x:v>
      </x:c>
      <x:c r="B34" s="15" t="n">
        <x:v>60.14</x:v>
      </x:c>
      <x:c r="C34" s="15" t="n">
        <x:v>200.48</x:v>
      </x:c>
      <x:c r="D34" s="13" t="n">
        <x:f>ROUND(C34-B34,2)</x:f>
        <x:v>140.34</x:v>
      </x:c>
    </x:row>
    <x:row r="35" ht="46" customHeight="1">
      <x:c r="A35" s="9" t="str">
        <x:v>8501 TYLER LN, MILLSTADT, IL 62260</x:v>
      </x:c>
      <x:c r="B35" s="11" t="n">
        <x:v>13.44</x:v>
      </x:c>
      <x:c r="C35" s="11" t="n">
        <x:v>44.81</x:v>
      </x:c>
      <x:c r="D35" s="13" t="n">
        <x:f>ROUND(C35-B35,2)</x:f>
        <x:v>31.37</x:v>
      </x:c>
    </x:row>
    <x:row r="36" ht="46" customHeight="1">
      <x:c r="A36" s="14" t="str">
        <x:v>8518 TYLER RD, MILLSTADT, IL 62260</x:v>
      </x:c>
      <x:c r="B36" s="15" t="n">
        <x:v>0.55</x:v>
      </x:c>
      <x:c r="C36" s="15" t="n">
        <x:v>1.85</x:v>
      </x:c>
      <x:c r="D36" s="13" t="n">
        <x:f>ROUND(C36-B36,2)</x:f>
        <x:v>1.3</x:v>
      </x:c>
    </x:row>
  </x:sheetData>
  <x:sheetProtection algorithmName="SHA-512" hashValue="KFvLKDYJEfcHBBHfhTEZo3J9d3EkbEd+z5wgYiSlIupTOIjTUzHzne6pLdqsW9p+LaNUyheUqNY9AfY+WLI7AA==" saltValue="hrrtRZzrb81dF9GInFpx0g==" spinCount="100000" sheet="1" objects="1" scenarios="1"/>
  <x:pageMargins left="0.7" right="0.7" top="0.75" bottom="0.75" header="0.3" footer="0.3"/>
</x:worksheet>
</file>