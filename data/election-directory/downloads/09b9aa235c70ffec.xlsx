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a5f570ce274ff1" /></Relationships>
</file>

<file path=xl/workbook.xml><?xml version="1.0" encoding="utf-8"?>
<x:workbook xmlns:x="http://schemas.openxmlformats.org/spreadsheetml/2006/main">
  <x:workbookProtection workbookAlgorithmName="SHA-512" workbookHashValue="q7D9GPPrG9dvIfCc4JySbFbwWTP7P16I37N9ki51U5FToYcbhg3hnldS/oIEJ3+AO4bJdjtor3h5xThN49kRVQ==" workbookSaltValue="lrnP8HoLEjOAV9ZQCXemAg==" workbookSpinCount="100000" lockStructure="1"/>
  <x:sheets>
    <x:sheet xmlns:r="http://schemas.openxmlformats.org/officeDocument/2006/relationships" name="Annual EMS taxes" sheetId="1" r:id="Ra4d4b99b0f554b2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.00"/>
  </x:numFmts>
  <x:fonts count="6">
    <x:font>
      <x:sz val="11"/>
      <x:name val="Carlito"/>
    </x:font>
    <x:font>
      <x:sz val="11"/>
      <x:color rgb="FF172A43"/>
      <x:name val="Arial"/>
    </x:font>
    <x:font>
      <x:b/>
      <x:sz val="15"/>
      <x:color rgb="FF0A1E3D"/>
      <x:name val="Arial"/>
    </x:font>
    <x:font>
      <x:sz val="10"/>
      <x:color rgb="FF52647B"/>
      <x:name val="Arial"/>
    </x:font>
    <x:font>
      <x:b/>
      <x:sz val="11"/>
      <x:color rgb="FFFFFFFF"/>
      <x:name val="Arial"/>
    </x:font>
    <x:font>
      <x:b/>
      <x:sz val="11"/>
      <x:color rgb="FF172A4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A1E3D"/>
      </x:patternFill>
    </x:fill>
    <x:fill>
      <x:patternFill patternType="solid">
        <x:fgColor rgb="FFFFF2CE"/>
      </x:patternFill>
    </x:fill>
    <x:fill>
      <x:patternFill patternType="solid">
        <x:fgColor rgb="FFF2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 applyProtection="1">
      <x:protection locked="1" hidden="0"/>
    </x:xf>
    <x:xf numFmtId="0" fontId="1" fillId="0" borderId="0" xfId="0" applyNumberFormat="1" applyFont="1" applyFill="1" applyBorder="1" applyProtection="1">
      <x:protection locked="1" hidden="0"/>
    </x:xf>
    <x:xf numFmtId="0" fontId="1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 wrapText="1"/>
      <x:protection locked="1" hidden="0"/>
    </x:xf>
    <x:xf numFmtId="0" fontId="3" fillId="0" borderId="0" xfId="0" applyNumberFormat="1" applyFont="1" applyFill="1" applyBorder="1" applyAlignment="1" applyProtection="1">
      <x:alignment vertical="center"/>
      <x:protection locked="1" hidden="0"/>
    </x:xf>
    <x:xf numFmtId="0" fontId="1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horizontal="center" vertical="center"/>
      <x:protection locked="1" hidden="0"/>
    </x:xf>
    <x:xf numFmtId="0" fontId="1" fillId="0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0" borderId="0" xfId="0" applyNumberFormat="1" applyFont="1" applyFill="1" applyBorder="1" applyAlignment="1" applyProtection="1">
      <x:alignment vertical="center"/>
      <x:protection locked="1" hidden="0"/>
    </x:xf>
    <x:xf numFmtId="200" fontId="1" fillId="0" borderId="0" xfId="0" applyNumberFormat="1" applyFont="1" applyFill="1" applyBorder="1" applyAlignment="1" applyProtection="1">
      <x:alignment horizontal="right" vertical="center"/>
      <x:protection locked="1" hidden="0"/>
    </x:xf>
    <x:xf numFmtId="200" fontId="1" fillId="3" borderId="0" xfId="0" applyNumberFormat="1" applyFont="1" applyFill="1" applyBorder="1" applyAlignment="1" applyProtection="1">
      <x:alignment horizontal="right" vertical="center"/>
      <x:protection locked="1" hidden="0"/>
    </x:xf>
    <x:xf numFmtId="200" fontId="5" fillId="3" borderId="0" xfId="0" applyNumberFormat="1" applyFont="1" applyFill="1" applyBorder="1" applyAlignment="1" applyProtection="1">
      <x:alignment horizontal="right" vertical="center"/>
      <x:protection locked="1" hidden="0"/>
    </x:xf>
    <x:xf numFmtId="0" fontId="1" fillId="4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4" borderId="0" xfId="0" applyNumberFormat="1" applyFont="1" applyFill="1" applyBorder="1" applyAlignment="1" applyProtection="1">
      <x:alignment horizontal="right" vertical="center"/>
      <x:protection locked="1" hidden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a1d08189bc46c2" /><Relationship Type="http://schemas.openxmlformats.org/officeDocument/2006/relationships/theme" Target="/xl/theme/theme1.xml" Id="Rf29d71b4afa74cb4" /><Relationship Type="http://schemas.openxmlformats.org/officeDocument/2006/relationships/sharedStrings" Target="/xl/sharedStrings.xml" Id="R2201a617ed77413b" /><Relationship Type="http://schemas.openxmlformats.org/officeDocument/2006/relationships/worksheet" Target="/xl/worksheets/sheet1.xml" Id="Ra4d4b99b0f554b2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A1E3D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57.779998779296875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</x:cols>
  <x:sheetData>
    <x:row r="1" ht="32" customHeight="1">
      <x:c r="A1" s="2"/>
      <x:c r="B1" s="2"/>
      <x:c r="C1" s="2"/>
      <x:c r="D1" s="2"/>
    </x:row>
    <x:row r="2" ht="30" customHeight="1">
      <x:c r="A2" s="4" t="str">
        <x:v>ARBOR RIDGE</x:v>
      </x:c>
      <x:c r="B2" s="2"/>
      <x:c r="C2" s="2"/>
      <x:c r="D2" s="2"/>
    </x:row>
    <x:row r="3" ht="32" customHeight="1">
      <x:c r="A3" s="5" t="str">
        <x:v>Millstadt EMS · Annual estimates using county 2025 taxable values</x:v>
      </x:c>
      <x:c r="B3" s="2"/>
      <x:c r="C3" s="2"/>
      <x:c r="D3" s="2"/>
    </x:row>
    <x:row r="4" ht="32" customHeight="1">
      <x:c r="A4" s="5" t="str">
        <x:v>Planned ESD rate: 0.30%. Baseline uses the existing ambulance levy offset.</x:v>
      </x:c>
      <x:c r="B4" s="2"/>
      <x:c r="C4" s="2"/>
      <x:c r="D4" s="2"/>
    </x:row>
    <x:row r="5" ht="32" customHeight="1">
      <x:c r="A5" s="2"/>
      <x:c r="B5" s="2"/>
      <x:c r="C5" s="2"/>
      <x:c r="D5" s="2"/>
    </x:row>
    <x:row r="6" ht="34" customHeight="1">
      <x:c r="A6" s="8" t="str">
        <x:v>Address</x:v>
      </x:c>
      <x:c r="B6" s="8" t="str">
        <x:v>Baseline EMS tax</x:v>
      </x:c>
      <x:c r="C6" s="8" t="str">
        <x:v>EMS tax at 0.30%</x:v>
      </x:c>
      <x:c r="D6" s="8" t="str">
        <x:v>Annual increase</x:v>
      </x:c>
    </x:row>
    <x:row r="7" ht="46" customHeight="1">
      <x:c r="A7" s="9" t="str">
        <x:v>4647 TIMBER VIEW DR, WATERLOO, IL 62298</x:v>
      </x:c>
      <x:c r="B7" s="11" t="n">
        <x:v>0</x:v>
      </x:c>
      <x:c r="C7" s="11" t="n">
        <x:v>0</x:v>
      </x:c>
      <x:c r="D7" s="13" t="n">
        <x:f>ROUND(C7-B7,2)</x:f>
        <x:v>0</x:v>
      </x:c>
    </x:row>
    <x:row r="8" ht="46" customHeight="1">
      <x:c r="A8" s="14" t="str">
        <x:v>4648 TIMBER VIEW DR, WATERLOO, IL 62298</x:v>
      </x:c>
      <x:c r="B8" s="15" t="n">
        <x:v>86.26</x:v>
      </x:c>
      <x:c r="C8" s="15" t="n">
        <x:v>287.53</x:v>
      </x:c>
      <x:c r="D8" s="13" t="n">
        <x:f>ROUND(C8-B8,2)</x:f>
        <x:v>201.27</x:v>
      </x:c>
    </x:row>
    <x:row r="9" ht="46" customHeight="1">
      <x:c r="A9" s="9" t="str">
        <x:v>4653 TIMBER VIEW DR, WATERLOO, IL 62298</x:v>
      </x:c>
      <x:c r="B9" s="11" t="n">
        <x:v>105.65</x:v>
      </x:c>
      <x:c r="C9" s="11" t="n">
        <x:v>352.18</x:v>
      </x:c>
      <x:c r="D9" s="13" t="n">
        <x:f>ROUND(C9-B9,2)</x:f>
        <x:v>246.53</x:v>
      </x:c>
    </x:row>
    <x:row r="10" ht="46" customHeight="1">
      <x:c r="A10" s="14" t="str">
        <x:v>4654 TIMBER VIEW DR, WATERLOO, IL 62298</x:v>
      </x:c>
      <x:c r="B10" s="15" t="n">
        <x:v>0</x:v>
      </x:c>
      <x:c r="C10" s="15" t="n">
        <x:v>0</x:v>
      </x:c>
      <x:c r="D10" s="13" t="n">
        <x:f>ROUND(C10-B10,2)</x:f>
        <x:v>0</x:v>
      </x:c>
    </x:row>
    <x:row r="11" ht="46" customHeight="1">
      <x:c r="A11" s="9" t="str">
        <x:v>4659 TIMBER VIEW DR, WATERLOO, IL 62298</x:v>
      </x:c>
      <x:c r="B11" s="11" t="n">
        <x:v>87.44</x:v>
      </x:c>
      <x:c r="C11" s="11" t="n">
        <x:v>291.48</x:v>
      </x:c>
      <x:c r="D11" s="13" t="n">
        <x:f>ROUND(C11-B11,2)</x:f>
        <x:v>204.04</x:v>
      </x:c>
    </x:row>
    <x:row r="12" ht="46" customHeight="1">
      <x:c r="A12" s="14" t="str">
        <x:v>4660 TIMBER VIEW DR, WATERLOO, IL 62298</x:v>
      </x:c>
      <x:c r="B12" s="15" t="n">
        <x:v>86.03</x:v>
      </x:c>
      <x:c r="C12" s="15" t="n">
        <x:v>286.76</x:v>
      </x:c>
      <x:c r="D12" s="13" t="n">
        <x:f>ROUND(C12-B12,2)</x:f>
        <x:v>200.73</x:v>
      </x:c>
    </x:row>
    <x:row r="13" ht="46" customHeight="1">
      <x:c r="A13" s="9" t="str">
        <x:v>4664 TIMBER VIEW DR, WATERLOO, IL 62298</x:v>
      </x:c>
      <x:c r="B13" s="11" t="n">
        <x:v>18.21</x:v>
      </x:c>
      <x:c r="C13" s="11" t="n">
        <x:v>60.71</x:v>
      </x:c>
      <x:c r="D13" s="13" t="n">
        <x:f>ROUND(C13-B13,2)</x:f>
        <x:v>42.5</x:v>
      </x:c>
    </x:row>
    <x:row r="14" ht="46" customHeight="1">
      <x:c r="A14" s="14" t="str">
        <x:v>4665 TIMBER VIEW DR, WATERLOO, IL 62298</x:v>
      </x:c>
      <x:c r="B14" s="15" t="n">
        <x:v>95.08</x:v>
      </x:c>
      <x:c r="C14" s="15" t="n">
        <x:v>316.92</x:v>
      </x:c>
      <x:c r="D14" s="13" t="n">
        <x:f>ROUND(C14-B14,2)</x:f>
        <x:v>221.84</x:v>
      </x:c>
    </x:row>
    <x:row r="15" ht="46" customHeight="1">
      <x:c r="A15" s="9" t="str">
        <x:v>4721 TIMBER VIEW DR, WATERLOO, IL 62298</x:v>
      </x:c>
      <x:c r="B15" s="11" t="n">
        <x:v>200.2</x:v>
      </x:c>
      <x:c r="C15" s="11" t="n">
        <x:v>667.34</x:v>
      </x:c>
      <x:c r="D15" s="13" t="n">
        <x:f>ROUND(C15-B15,2)</x:f>
        <x:v>467.14</x:v>
      </x:c>
    </x:row>
    <x:row r="16" ht="46" customHeight="1">
      <x:c r="A16" s="14" t="str">
        <x:v>4722 TIMBER VIEW DR, WATERLOO, IL 62298</x:v>
      </x:c>
      <x:c r="B16" s="15" t="n">
        <x:v>125.21</x:v>
      </x:c>
      <x:c r="C16" s="15" t="n">
        <x:v>417.35</x:v>
      </x:c>
      <x:c r="D16" s="13" t="n">
        <x:f>ROUND(C16-B16,2)</x:f>
        <x:v>292.14</x:v>
      </x:c>
    </x:row>
    <x:row r="17" ht="46" customHeight="1">
      <x:c r="A17" s="9" t="str">
        <x:v>4727 TIMBER VIEW DR, WATERLOO, IL 62298</x:v>
      </x:c>
      <x:c r="B17" s="11" t="n">
        <x:v>119.74</x:v>
      </x:c>
      <x:c r="C17" s="11" t="n">
        <x:v>399.13</x:v>
      </x:c>
      <x:c r="D17" s="13" t="n">
        <x:f>ROUND(C17-B17,2)</x:f>
        <x:v>279.39</x:v>
      </x:c>
    </x:row>
    <x:row r="18" ht="46" customHeight="1">
      <x:c r="A18" s="14" t="str">
        <x:v>4728 TIMBER VIEW DR, WATERLOO, IL 62298</x:v>
      </x:c>
      <x:c r="B18" s="15" t="n">
        <x:v>87.99</x:v>
      </x:c>
      <x:c r="C18" s="15" t="n">
        <x:v>293.31</x:v>
      </x:c>
      <x:c r="D18" s="13" t="n">
        <x:f>ROUND(C18-B18,2)</x:f>
        <x:v>205.32</x:v>
      </x:c>
    </x:row>
    <x:row r="19" ht="46" customHeight="1">
      <x:c r="A19" s="9" t="str">
        <x:v>4734 TIMBER VIEW DR, WATERLOO, IL 62298</x:v>
      </x:c>
      <x:c r="B19" s="11" t="n">
        <x:v>185.83</x:v>
      </x:c>
      <x:c r="C19" s="11" t="n">
        <x:v>619.45</x:v>
      </x:c>
      <x:c r="D19" s="13" t="n">
        <x:f>ROUND(C19-B19,2)</x:f>
        <x:v>433.62</x:v>
      </x:c>
    </x:row>
  </x:sheetData>
  <x:sheetProtection algorithmName="SHA-512" hashValue="q7D9GPPrG9dvIfCc4JySbFbwWTP7P16I37N9ki51U5FToYcbhg3hnldS/oIEJ3+AO4bJdjtor3h5xThN49kRVQ==" saltValue="lrnP8HoLEjOAV9ZQCXemAg==" spinCount="100000" sheet="1" objects="1" scenarios="1"/>
  <x:pageMargins left="0.7" right="0.7" top="0.75" bottom="0.75" header="0.3" footer="0.3"/>
</x:worksheet>
</file>