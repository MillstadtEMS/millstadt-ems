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be3643c6d4381" /></Relationships>
</file>

<file path=xl/workbook.xml><?xml version="1.0" encoding="utf-8"?>
<x:workbook xmlns:x="http://schemas.openxmlformats.org/spreadsheetml/2006/main">
  <x:workbookProtection workbookAlgorithmName="SHA-512" workbookHashValue="8CITukPXRqujhW4pqk8enw+Ppw7D5jVamr/2dp+UqMqv+tGleqUxh6R8foTNK4G2+BEMfr11I1dtV0F+a5a4mQ==" workbookSaltValue="SLjpprRfvkqFH38kjq+CRg==" workbookSpinCount="100000" lockStructure="1"/>
  <x:sheets>
    <x:sheet xmlns:r="http://schemas.openxmlformats.org/officeDocument/2006/relationships" name="Annual EMS taxes" sheetId="1" r:id="R6ddee9a6a97c4a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dcf498ec964109" /><Relationship Type="http://schemas.openxmlformats.org/officeDocument/2006/relationships/theme" Target="/xl/theme/theme1.xml" Id="R6a9be1e7999d46f6" /><Relationship Type="http://schemas.openxmlformats.org/officeDocument/2006/relationships/sharedStrings" Target="/xl/sharedStrings.xml" Id="R809fb23363684694" /><Relationship Type="http://schemas.openxmlformats.org/officeDocument/2006/relationships/worksheet" Target="/xl/worksheets/sheet1.xml" Id="R6ddee9a6a97c4a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10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1475 B &amp; H INDUSTRIAL CT, MILLSTADT, IL 62260</x:v>
      </x:c>
      <x:c r="B7" s="11" t="n">
        <x:v>171.42</x:v>
      </x:c>
      <x:c r="C7" s="11" t="n">
        <x:v>571.39</x:v>
      </x:c>
      <x:c r="D7" s="13" t="n">
        <x:f>ROUND(C7-B7,2)</x:f>
        <x:v>399.97</x:v>
      </x:c>
    </x:row>
    <x:row r="8" ht="46" customHeight="1">
      <x:c r="A8" s="14" t="str">
        <x:v>4112 BOHLEYSVILLE RD, WATERLOO, IL 62298</x:v>
      </x:c>
      <x:c r="B8" s="15" t="n">
        <x:v>0</x:v>
      </x:c>
      <x:c r="C8" s="15" t="n">
        <x:v>161</x:v>
      </x:c>
      <x:c r="D8" s="13" t="n">
        <x:f>ROUND(C8-B8,2)</x:f>
        <x:v>161</x:v>
      </x:c>
    </x:row>
    <x:row r="9" ht="46" customHeight="1">
      <x:c r="A9" s="9" t="str">
        <x:v>4270 BOHLEYSVILLE RD, WATERLOO, IL 62298</x:v>
      </x:c>
      <x:c r="B9" s="11" t="n">
        <x:v>0</x:v>
      </x:c>
      <x:c r="C9" s="11" t="n">
        <x:v>158.55</x:v>
      </x:c>
      <x:c r="D9" s="13" t="n">
        <x:f>ROUND(C9-B9,2)</x:f>
        <x:v>158.55</x:v>
      </x:c>
    </x:row>
    <x:row r="10" ht="46" customHeight="1">
      <x:c r="A10" s="14" t="str">
        <x:v>4300 BOHLEYSVILLE RD, WATERLOO, IL 62298
Parcel 16-10.0-100-014</x:v>
      </x:c>
      <x:c r="B10" s="15" t="n">
        <x:v>0</x:v>
      </x:c>
      <x:c r="C10" s="15" t="n">
        <x:v>196.23</x:v>
      </x:c>
      <x:c r="D10" s="13" t="n">
        <x:f>ROUND(C10-B10,2)</x:f>
        <x:v>196.23</x:v>
      </x:c>
    </x:row>
    <x:row r="11" ht="46" customHeight="1">
      <x:c r="A11" s="9" t="str">
        <x:v>888 BRUSSELS ST, MILLSTADT, IL 62260</x:v>
      </x:c>
      <x:c r="B11" s="11" t="n">
        <x:v>231.59</x:v>
      </x:c>
      <x:c r="C11" s="11" t="n">
        <x:v>771.95</x:v>
      </x:c>
      <x:c r="D11" s="13" t="n">
        <x:f>ROUND(C11-B11,2)</x:f>
        <x:v>540.36</x:v>
      </x:c>
    </x:row>
    <x:row r="12" ht="46" customHeight="1">
      <x:c r="A12" s="14" t="str">
        <x:v>8 E ADAMS ST, MILLSTADT, IL 62260</x:v>
      </x:c>
      <x:c r="B12" s="15" t="n">
        <x:v>49.33</x:v>
      </x:c>
      <x:c r="C12" s="15" t="n">
        <x:v>164.42</x:v>
      </x:c>
      <x:c r="D12" s="13" t="n">
        <x:f>ROUND(C12-B12,2)</x:f>
        <x:v>115.09</x:v>
      </x:c>
    </x:row>
    <x:row r="13" ht="46" customHeight="1">
      <x:c r="A13" s="9" t="str">
        <x:v>11 E ADAMS ST, MILLSTADT, IL 62260</x:v>
      </x:c>
      <x:c r="B13" s="11" t="n">
        <x:v>67.92</x:v>
      </x:c>
      <x:c r="C13" s="11" t="n">
        <x:v>226.41</x:v>
      </x:c>
      <x:c r="D13" s="13" t="n">
        <x:f>ROUND(C13-B13,2)</x:f>
        <x:v>158.49</x:v>
      </x:c>
    </x:row>
    <x:row r="14" ht="46" customHeight="1">
      <x:c r="A14" s="14" t="str">
        <x:v>111 E GOODING ST, MILLSTADT, IL 62260</x:v>
      </x:c>
      <x:c r="B14" s="15" t="n">
        <x:v>93.77</x:v>
      </x:c>
      <x:c r="C14" s="15" t="n">
        <x:v>312.58</x:v>
      </x:c>
      <x:c r="D14" s="13" t="n">
        <x:f>ROUND(C14-B14,2)</x:f>
        <x:v>218.81</x:v>
      </x:c>
    </x:row>
    <x:row r="15" ht="46" customHeight="1">
      <x:c r="A15" s="9" t="str">
        <x:v>320 E LAUREL ST, MILLSTADT, IL 62260</x:v>
      </x:c>
      <x:c r="B15" s="11" t="n">
        <x:v>66.17</x:v>
      </x:c>
      <x:c r="C15" s="11" t="n">
        <x:v>220.56</x:v>
      </x:c>
      <x:c r="D15" s="13" t="n">
        <x:f>ROUND(C15-B15,2)</x:f>
        <x:v>154.39</x:v>
      </x:c>
    </x:row>
    <x:row r="16" ht="46" customHeight="1">
      <x:c r="A16" s="14" t="str">
        <x:v>410 E LAUREL ST, MILLSTADT, IL 62260
Parcel 12-10.0-323-021</x:v>
      </x:c>
      <x:c r="B16" s="15" t="n">
        <x:v>0</x:v>
      </x:c>
      <x:c r="C16" s="15" t="n">
        <x:v>0</x:v>
      </x:c>
      <x:c r="D16" s="13" t="n">
        <x:f>ROUND(C16-B16,2)</x:f>
        <x:v>0</x:v>
      </x:c>
    </x:row>
    <x:row r="17" ht="46" customHeight="1">
      <x:c r="A17" s="9" t="str">
        <x:v>410 E LAUREL ST, MILLSTADT, IL 62260
Parcel 12-10.0-323-050</x:v>
      </x:c>
      <x:c r="B17" s="11" t="n">
        <x:v>0</x:v>
      </x:c>
      <x:c r="C17" s="11" t="n">
        <x:v>0</x:v>
      </x:c>
      <x:c r="D17" s="13" t="n">
        <x:f>ROUND(C17-B17,2)</x:f>
        <x:v>0</x:v>
      </x:c>
    </x:row>
    <x:row r="18" ht="46" customHeight="1">
      <x:c r="A18" s="14" t="str">
        <x:v>410 E LAUREL ST, MILLSTADT, IL 62260
Parcel 12-10.4-323-001</x:v>
      </x:c>
      <x:c r="B18" s="15" t="n">
        <x:v>63.09</x:v>
      </x:c>
      <x:c r="C18" s="15" t="n">
        <x:v>210.3</x:v>
      </x:c>
      <x:c r="D18" s="13" t="n">
        <x:f>ROUND(C18-B18,2)</x:f>
        <x:v>147.21</x:v>
      </x:c>
    </x:row>
    <x:row r="19" ht="46" customHeight="1">
      <x:c r="A19" s="9" t="str">
        <x:v>14 E MILL ST, MILLSTADT, IL 62260</x:v>
      </x:c>
      <x:c r="B19" s="11" t="n">
        <x:v>53.03</x:v>
      </x:c>
      <x:c r="C19" s="11" t="n">
        <x:v>176.77</x:v>
      </x:c>
      <x:c r="D19" s="13" t="n">
        <x:f>ROUND(C19-B19,2)</x:f>
        <x:v>123.74</x:v>
      </x:c>
    </x:row>
    <x:row r="20" ht="46" customHeight="1">
      <x:c r="A20" s="14" t="str">
        <x:v>18 E MILL ST, MILLSTADT, IL 62260</x:v>
      </x:c>
      <x:c r="B20" s="15" t="n">
        <x:v>56.48</x:v>
      </x:c>
      <x:c r="C20" s="15" t="n">
        <x:v>188.28</x:v>
      </x:c>
      <x:c r="D20" s="13" t="n">
        <x:f>ROUND(C20-B20,2)</x:f>
        <x:v>131.8</x:v>
      </x:c>
    </x:row>
    <x:row r="21" ht="46" customHeight="1">
      <x:c r="A21" s="9" t="str">
        <x:v>102 E MILL ST, MILLSTADT, IL 62260</x:v>
      </x:c>
      <x:c r="B21" s="11" t="n">
        <x:v>61.17</x:v>
      </x:c>
      <x:c r="C21" s="11" t="n">
        <x:v>203.9</x:v>
      </x:c>
      <x:c r="D21" s="13" t="n">
        <x:f>ROUND(C21-B21,2)</x:f>
        <x:v>142.73</x:v>
      </x:c>
    </x:row>
    <x:row r="22" ht="46" customHeight="1">
      <x:c r="A22" s="14" t="str">
        <x:v>108 E MILL ST, MILLSTADT, IL 62260</x:v>
      </x:c>
      <x:c r="B22" s="15" t="n">
        <x:v>42.15</x:v>
      </x:c>
      <x:c r="C22" s="15" t="n">
        <x:v>140.51</x:v>
      </x:c>
      <x:c r="D22" s="13" t="n">
        <x:f>ROUND(C22-B22,2)</x:f>
        <x:v>98.36</x:v>
      </x:c>
    </x:row>
    <x:row r="23" ht="46" customHeight="1">
      <x:c r="A23" s="9" t="str">
        <x:v>114 E MILL ST, MILLSTADT, IL 62260</x:v>
      </x:c>
      <x:c r="B23" s="11" t="n">
        <x:v>43.1</x:v>
      </x:c>
      <x:c r="C23" s="11" t="n">
        <x:v>143.68</x:v>
      </x:c>
      <x:c r="D23" s="13" t="n">
        <x:f>ROUND(C23-B23,2)</x:f>
        <x:v>100.58</x:v>
      </x:c>
    </x:row>
    <x:row r="24" ht="46" customHeight="1">
      <x:c r="A24" s="14" t="str">
        <x:v>202 E MILL ST, MILLSTADT, IL 62260</x:v>
      </x:c>
      <x:c r="B24" s="15" t="n">
        <x:v>46.52</x:v>
      </x:c>
      <x:c r="C24" s="15" t="n">
        <x:v>155.06</x:v>
      </x:c>
      <x:c r="D24" s="13" t="n">
        <x:f>ROUND(C24-B24,2)</x:f>
        <x:v>108.54</x:v>
      </x:c>
    </x:row>
    <x:row r="25" ht="46" customHeight="1">
      <x:c r="A25" s="9" t="str">
        <x:v>339 E MILL ST, MILLSTADT, IL 62260</x:v>
      </x:c>
      <x:c r="B25" s="11" t="n">
        <x:v>105.46</x:v>
      </x:c>
      <x:c r="C25" s="11" t="n">
        <x:v>351.52</x:v>
      </x:c>
      <x:c r="D25" s="13" t="n">
        <x:f>ROUND(C25-B25,2)</x:f>
        <x:v>246.06</x:v>
      </x:c>
    </x:row>
    <x:row r="26" ht="46" customHeight="1">
      <x:c r="A26" s="14" t="str">
        <x:v>207 E WASHINGTON ST, MILLSTADT, IL 62260
Parcel 12-10.0-108-003</x:v>
      </x:c>
      <x:c r="B26" s="15" t="n">
        <x:v>6</x:v>
      </x:c>
      <x:c r="C26" s="15" t="n">
        <x:v>20</x:v>
      </x:c>
      <x:c r="D26" s="13" t="n">
        <x:f>ROUND(C26-B26,2)</x:f>
        <x:v>14</x:v>
      </x:c>
    </x:row>
    <x:row r="27" ht="46" customHeight="1">
      <x:c r="A27" s="9" t="str">
        <x:v>500 E WASHINGTON ST, MILLSTADT, IL 62260</x:v>
      </x:c>
      <x:c r="B27" s="11" t="n">
        <x:v>27.21</x:v>
      </x:c>
      <x:c r="C27" s="11" t="n">
        <x:v>90.7</x:v>
      </x:c>
      <x:c r="D27" s="13" t="n">
        <x:f>ROUND(C27-B27,2)</x:f>
        <x:v>63.49</x:v>
      </x:c>
    </x:row>
    <x:row r="28" ht="46" customHeight="1">
      <x:c r="A28" s="14" t="str">
        <x:v>503 E WASHINGTON ST, MILLSTADT, IL 62260
Parcel 12-10.0-100-036</x:v>
      </x:c>
      <x:c r="B28" s="15" t="n">
        <x:v>0</x:v>
      </x:c>
      <x:c r="C28" s="15" t="n">
        <x:v>0</x:v>
      </x:c>
      <x:c r="D28" s="13" t="n">
        <x:f>ROUND(C28-B28,2)</x:f>
        <x:v>0</x:v>
      </x:c>
    </x:row>
    <x:row r="29" ht="46" customHeight="1">
      <x:c r="A29" s="9" t="str">
        <x:v>503 E WASHINGTON ST, MILLSTADT, IL 62260
Parcel 12-10.0-100-037</x:v>
      </x:c>
      <x:c r="B29" s="11" t="n">
        <x:v>0</x:v>
      </x:c>
      <x:c r="C29" s="11" t="n">
        <x:v>0</x:v>
      </x:c>
      <x:c r="D29" s="13" t="n">
        <x:f>ROUND(C29-B29,2)</x:f>
        <x:v>0</x:v>
      </x:c>
    </x:row>
    <x:row r="30" ht="46" customHeight="1">
      <x:c r="A30" s="14" t="str">
        <x:v>600 E WASHINGTON ST, MILLSTADT, IL 62260</x:v>
      </x:c>
      <x:c r="B30" s="15" t="n">
        <x:v>29.27</x:v>
      </x:c>
      <x:c r="C30" s="15" t="n">
        <x:v>97.58</x:v>
      </x:c>
      <x:c r="D30" s="13" t="n">
        <x:f>ROUND(C30-B30,2)</x:f>
        <x:v>68.31</x:v>
      </x:c>
    </x:row>
    <x:row r="31" ht="46" customHeight="1">
      <x:c r="A31" s="9" t="str">
        <x:v>610 E WASHINGTON ST, MILLSTADT, IL 62260</x:v>
      </x:c>
      <x:c r="B31" s="11" t="n">
        <x:v>71.08</x:v>
      </x:c>
      <x:c r="C31" s="11" t="n">
        <x:v>236.93</x:v>
      </x:c>
      <x:c r="D31" s="13" t="n">
        <x:f>ROUND(C31-B31,2)</x:f>
        <x:v>165.85</x:v>
      </x:c>
    </x:row>
    <x:row r="32" ht="46" customHeight="1">
      <x:c r="A32" s="14" t="str">
        <x:v>620 E WASHINGTON ST, MILLSTADT, IL 62260</x:v>
      </x:c>
      <x:c r="B32" s="15" t="n">
        <x:v>87.98</x:v>
      </x:c>
      <x:c r="C32" s="15" t="n">
        <x:v>293.25</x:v>
      </x:c>
      <x:c r="D32" s="13" t="n">
        <x:f>ROUND(C32-B32,2)</x:f>
        <x:v>205.27</x:v>
      </x:c>
    </x:row>
    <x:row r="33" ht="46" customHeight="1">
      <x:c r="A33" s="9" t="str">
        <x:v>629 E WASHINGTON ST, MILLSTADT, IL 62260</x:v>
      </x:c>
      <x:c r="B33" s="11" t="n">
        <x:v>52.3</x:v>
      </x:c>
      <x:c r="C33" s="11" t="n">
        <x:v>174.32</x:v>
      </x:c>
      <x:c r="D33" s="13" t="n">
        <x:f>ROUND(C33-B33,2)</x:f>
        <x:v>122.02</x:v>
      </x:c>
    </x:row>
    <x:row r="34" ht="46" customHeight="1">
      <x:c r="A34" s="14" t="str">
        <x:v>630 E WASHINGTON ST, MILLSTADT, IL 62260</x:v>
      </x:c>
      <x:c r="B34" s="15" t="n">
        <x:v>58.78</x:v>
      </x:c>
      <x:c r="C34" s="15" t="n">
        <x:v>195.95</x:v>
      </x:c>
      <x:c r="D34" s="13" t="n">
        <x:f>ROUND(C34-B34,2)</x:f>
        <x:v>137.17</x:v>
      </x:c>
    </x:row>
    <x:row r="35" ht="46" customHeight="1">
      <x:c r="A35" s="9" t="str">
        <x:v>645 E WASHINGTON ST, MILLSTADT, IL 62260</x:v>
      </x:c>
      <x:c r="B35" s="11" t="n">
        <x:v>22.4</x:v>
      </x:c>
      <x:c r="C35" s="11" t="n">
        <x:v>74.66</x:v>
      </x:c>
      <x:c r="D35" s="13" t="n">
        <x:f>ROUND(C35-B35,2)</x:f>
        <x:v>52.26</x:v>
      </x:c>
    </x:row>
    <x:row r="36" ht="46" customHeight="1">
      <x:c r="A36" s="14" t="str">
        <x:v>910 E WASHINGTON ST, MILLSTADT, IL 62260</x:v>
      </x:c>
      <x:c r="B36" s="15" t="n">
        <x:v>42.21</x:v>
      </x:c>
      <x:c r="C36" s="15" t="n">
        <x:v>140.7</x:v>
      </x:c>
      <x:c r="D36" s="13" t="n">
        <x:f>ROUND(C36-B36,2)</x:f>
        <x:v>98.49</x:v>
      </x:c>
    </x:row>
    <x:row r="37" ht="46" customHeight="1">
      <x:c r="A37" s="9" t="str">
        <x:v>914 E WASHINGTON ST, MILLSTADT, IL 62260</x:v>
      </x:c>
      <x:c r="B37" s="11" t="n">
        <x:v>79.02</x:v>
      </x:c>
      <x:c r="C37" s="11" t="n">
        <x:v>263.39</x:v>
      </x:c>
      <x:c r="D37" s="13" t="n">
        <x:f>ROUND(C37-B37,2)</x:f>
        <x:v>184.37</x:v>
      </x:c>
    </x:row>
    <x:row r="38" ht="46" customHeight="1">
      <x:c r="A38" s="14" t="str">
        <x:v>920 E WASHINGTON ST, MILLSTADT, IL 62260
Parcel 12-10.0-200-029</x:v>
      </x:c>
      <x:c r="B38" s="15" t="n">
        <x:v>35.34</x:v>
      </x:c>
      <x:c r="C38" s="15" t="n">
        <x:v>117.8</x:v>
      </x:c>
      <x:c r="D38" s="13" t="n">
        <x:f>ROUND(C38-B38,2)</x:f>
        <x:v>82.46</x:v>
      </x:c>
    </x:row>
    <x:row r="39" ht="46" customHeight="1">
      <x:c r="A39" s="9" t="str">
        <x:v>920 E WASHINGTON ST, MILLSTADT, IL 62260
Parcel 12-10.0-400-022</x:v>
      </x:c>
      <x:c r="B39" s="11" t="n">
        <x:v>2.06</x:v>
      </x:c>
      <x:c r="C39" s="11" t="n">
        <x:v>6.85</x:v>
      </x:c>
      <x:c r="D39" s="13" t="n">
        <x:f>ROUND(C39-B39,2)</x:f>
        <x:v>4.79</x:v>
      </x:c>
    </x:row>
    <x:row r="40" ht="46" customHeight="1">
      <x:c r="A40" s="14" t="str">
        <x:v>920 E WASHINGTON ST, MILLSTADT, IL 62260
Parcel 12-10.0-400-026</x:v>
      </x:c>
      <x:c r="B40" s="15" t="n">
        <x:v>2.28</x:v>
      </x:c>
      <x:c r="C40" s="15" t="n">
        <x:v>7.58</x:v>
      </x:c>
      <x:c r="D40" s="13" t="n">
        <x:f>ROUND(C40-B40,2)</x:f>
        <x:v>5.3</x:v>
      </x:c>
    </x:row>
    <x:row r="41" ht="46" customHeight="1">
      <x:c r="A41" s="9" t="str">
        <x:v>920 E WASHINGTON ST, MILLSTADT, IL 62260
Parcel 12-10.0-400-027</x:v>
      </x:c>
      <x:c r="B41" s="11" t="n">
        <x:v>1.16</x:v>
      </x:c>
      <x:c r="C41" s="11" t="n">
        <x:v>3.87</x:v>
      </x:c>
      <x:c r="D41" s="13" t="n">
        <x:f>ROUND(C41-B41,2)</x:f>
        <x:v>2.71</x:v>
      </x:c>
    </x:row>
    <x:row r="42" ht="46" customHeight="1">
      <x:c r="A42" s="14" t="str">
        <x:v>938 E WASHINGTON ST, MILLSTADT, IL 62260</x:v>
      </x:c>
      <x:c r="B42" s="15" t="n">
        <x:v>50.19</x:v>
      </x:c>
      <x:c r="C42" s="15" t="n">
        <x:v>167.29</x:v>
      </x:c>
      <x:c r="D42" s="13" t="n">
        <x:f>ROUND(C42-B42,2)</x:f>
        <x:v>117.1</x:v>
      </x:c>
    </x:row>
    <x:row r="43" ht="46" customHeight="1">
      <x:c r="A43" s="9" t="str">
        <x:v>1012 E WASHINGTON ST, MILLSTADT, IL 62260</x:v>
      </x:c>
      <x:c r="B43" s="11" t="n">
        <x:v>63.95</x:v>
      </x:c>
      <x:c r="C43" s="11" t="n">
        <x:v>213.17</x:v>
      </x:c>
      <x:c r="D43" s="13" t="n">
        <x:f>ROUND(C43-B43,2)</x:f>
        <x:v>149.22</x:v>
      </x:c>
    </x:row>
    <x:row r="44" ht="46" customHeight="1">
      <x:c r="A44" s="14" t="str">
        <x:v>600 KOPP RD, WATERLOO, IL 62298
Parcel 16-10.0-300-007</x:v>
      </x:c>
      <x:c r="B44" s="15" t="n">
        <x:v>0</x:v>
      </x:c>
      <x:c r="C44" s="15" t="n">
        <x:v>47.79</x:v>
      </x:c>
      <x:c r="D44" s="13" t="n">
        <x:f>ROUND(C44-B44,2)</x:f>
        <x:v>47.79</x:v>
      </x:c>
    </x:row>
    <x:row r="45" ht="46" customHeight="1">
      <x:c r="A45" s="9" t="str">
        <x:v>100 LAKEWOOD DR, MILLSTADT, IL 62260</x:v>
      </x:c>
      <x:c r="B45" s="11" t="n">
        <x:v>100.16</x:v>
      </x:c>
      <x:c r="C45" s="11" t="n">
        <x:v>333.88</x:v>
      </x:c>
      <x:c r="D45" s="13" t="n">
        <x:f>ROUND(C45-B45,2)</x:f>
        <x:v>233.72</x:v>
      </x:c>
    </x:row>
    <x:row r="46" ht="46" customHeight="1">
      <x:c r="A46" s="14" t="str">
        <x:v>1 LAKEWOOD DR # 258A, MILLSTADT, IL 62260</x:v>
      </x:c>
      <x:c r="B46" s="15" t="n">
        <x:v>68.56</x:v>
      </x:c>
      <x:c r="C46" s="15" t="n">
        <x:v>228.54</x:v>
      </x:c>
      <x:c r="D46" s="13" t="n">
        <x:f>ROUND(C46-B46,2)</x:f>
        <x:v>159.98</x:v>
      </x:c>
    </x:row>
    <x:row r="47" ht="46" customHeight="1">
      <x:c r="A47" s="9" t="str">
        <x:v>210 N JEFFERSON ST, MILLSTADT, IL 62260</x:v>
      </x:c>
      <x:c r="B47" s="11" t="n">
        <x:v>64.43</x:v>
      </x:c>
      <x:c r="C47" s="11" t="n">
        <x:v>214.75</x:v>
      </x:c>
      <x:c r="D47" s="13" t="n">
        <x:f>ROUND(C47-B47,2)</x:f>
        <x:v>150.32</x:v>
      </x:c>
    </x:row>
    <x:row r="48" ht="46" customHeight="1">
      <x:c r="A48" s="14" t="str">
        <x:v>216 N JEFFERSON ST, MILLSTADT, IL 62260</x:v>
      </x:c>
      <x:c r="B48" s="15" t="n">
        <x:v>33.82</x:v>
      </x:c>
      <x:c r="C48" s="15" t="n">
        <x:v>112.74</x:v>
      </x:c>
      <x:c r="D48" s="13" t="n">
        <x:f>ROUND(C48-B48,2)</x:f>
        <x:v>78.92</x:v>
      </x:c>
    </x:row>
    <x:row r="49" ht="46" customHeight="1">
      <x:c r="A49" s="9" t="str">
        <x:v>300 N JEFFERSON ST, MILLSTADT, IL 62260
Parcel 12-10.0-100-028</x:v>
      </x:c>
      <x:c r="B49" s="11" t="n">
        <x:v>50.24</x:v>
      </x:c>
      <x:c r="C49" s="11" t="n">
        <x:v>167.46</x:v>
      </x:c>
      <x:c r="D49" s="13" t="n">
        <x:f>ROUND(C49-B49,2)</x:f>
        <x:v>117.22</x:v>
      </x:c>
    </x:row>
    <x:row r="50" ht="46" customHeight="1">
      <x:c r="A50" s="14" t="str">
        <x:v>300 N JEFFERSON ST, MILLSTADT, IL 62260
Parcel 12-10.0-100-029</x:v>
      </x:c>
      <x:c r="B50" s="15" t="n">
        <x:v>6.2</x:v>
      </x:c>
      <x:c r="C50" s="15" t="n">
        <x:v>20.67</x:v>
      </x:c>
      <x:c r="D50" s="13" t="n">
        <x:f>ROUND(C50-B50,2)</x:f>
        <x:v>14.47</x:v>
      </x:c>
    </x:row>
    <x:row r="51" ht="46" customHeight="1">
      <x:c r="A51" s="9" t="str">
        <x:v>308 N JEFFERSON ST, MILLSTADT, IL 62260</x:v>
      </x:c>
      <x:c r="B51" s="11" t="n">
        <x:v>12.71</x:v>
      </x:c>
      <x:c r="C51" s="11" t="n">
        <x:v>42.36</x:v>
      </x:c>
      <x:c r="D51" s="13" t="n">
        <x:f>ROUND(C51-B51,2)</x:f>
        <x:v>29.65</x:v>
      </x:c>
    </x:row>
    <x:row r="52" ht="46" customHeight="1">
      <x:c r="A52" s="14" t="str">
        <x:v>314 N JEFFERSON ST, MILLSTADT, IL 62260</x:v>
      </x:c>
      <x:c r="B52" s="15" t="n">
        <x:v>142.64</x:v>
      </x:c>
      <x:c r="C52" s="15" t="n">
        <x:v>475.47</x:v>
      </x:c>
      <x:c r="D52" s="13" t="n">
        <x:f>ROUND(C52-B52,2)</x:f>
        <x:v>332.83</x:v>
      </x:c>
    </x:row>
    <x:row r="53" ht="46" customHeight="1">
      <x:c r="A53" s="9" t="str">
        <x:v>11 N KOSSUTH ST, MILLSTADT, IL 62260</x:v>
      </x:c>
      <x:c r="B53" s="11" t="n">
        <x:v>53.66</x:v>
      </x:c>
      <x:c r="C53" s="11" t="n">
        <x:v>178.87</x:v>
      </x:c>
      <x:c r="D53" s="13" t="n">
        <x:f>ROUND(C53-B53,2)</x:f>
        <x:v>125.21</x:v>
      </x:c>
    </x:row>
    <x:row r="54" ht="46" customHeight="1">
      <x:c r="A54" s="14" t="str">
        <x:v>15 N KOSSUTH ST, MILLSTADT, IL 62260</x:v>
      </x:c>
      <x:c r="B54" s="15" t="n">
        <x:v>33.65</x:v>
      </x:c>
      <x:c r="C54" s="15" t="n">
        <x:v>112.17</x:v>
      </x:c>
      <x:c r="D54" s="13" t="n">
        <x:f>ROUND(C54-B54,2)</x:f>
        <x:v>78.52</x:v>
      </x:c>
    </x:row>
    <x:row r="55" ht="46" customHeight="1">
      <x:c r="A55" s="9" t="str">
        <x:v>15 N MULBERRY ST, MILLSTADT, IL 62260</x:v>
      </x:c>
      <x:c r="B55" s="11" t="n">
        <x:v>54.14</x:v>
      </x:c>
      <x:c r="C55" s="11" t="n">
        <x:v>180.47</x:v>
      </x:c>
      <x:c r="D55" s="13" t="n">
        <x:f>ROUND(C55-B55,2)</x:f>
        <x:v>126.33</x:v>
      </x:c>
    </x:row>
    <x:row r="56" ht="46" customHeight="1">
      <x:c r="A56" s="14" t="str">
        <x:v>512 S BREESE ST, MILLSTADT, IL 62260</x:v>
      </x:c>
      <x:c r="B56" s="15" t="n">
        <x:v>193.62</x:v>
      </x:c>
      <x:c r="C56" s="15" t="n">
        <x:v>645.38</x:v>
      </x:c>
      <x:c r="D56" s="13" t="n">
        <x:f>ROUND(C56-B56,2)</x:f>
        <x:v>451.76</x:v>
      </x:c>
    </x:row>
    <x:row r="57" ht="46" customHeight="1">
      <x:c r="A57" s="9" t="str">
        <x:v>700 S BREESE ST, MILLSTADT, IL 62260</x:v>
      </x:c>
      <x:c r="B57" s="11" t="n">
        <x:v>136.32</x:v>
      </x:c>
      <x:c r="C57" s="11" t="n">
        <x:v>454.4</x:v>
      </x:c>
      <x:c r="D57" s="13" t="n">
        <x:f>ROUND(C57-B57,2)</x:f>
        <x:v>318.08</x:v>
      </x:c>
    </x:row>
    <x:row r="58" ht="46" customHeight="1">
      <x:c r="A58" s="14" t="str">
        <x:v>600 S JEFFERSON, MILLSTADT, IL 62260</x:v>
      </x:c>
      <x:c r="B58" s="15" t="n">
        <x:v>9.04</x:v>
      </x:c>
      <x:c r="C58" s="15" t="n">
        <x:v>30.14</x:v>
      </x:c>
      <x:c r="D58" s="13" t="n">
        <x:f>ROUND(C58-B58,2)</x:f>
        <x:v>21.1</x:v>
      </x:c>
    </x:row>
    <x:row r="59" ht="46" customHeight="1">
      <x:c r="A59" s="9" t="str">
        <x:v>510 S JEFFERSON ST, MILLSTADT, IL 62260</x:v>
      </x:c>
      <x:c r="B59" s="11" t="n">
        <x:v>18.84</x:v>
      </x:c>
      <x:c r="C59" s="11" t="n">
        <x:v>62.81</x:v>
      </x:c>
      <x:c r="D59" s="13" t="n">
        <x:f>ROUND(C59-B59,2)</x:f>
        <x:v>43.97</x:v>
      </x:c>
    </x:row>
    <x:row r="60" ht="46" customHeight="1">
      <x:c r="A60" s="14" t="str">
        <x:v>514 S JEFFERSON ST, MILLSTADT, IL 62260</x:v>
      </x:c>
      <x:c r="B60" s="15" t="n">
        <x:v>37.72</x:v>
      </x:c>
      <x:c r="C60" s="15" t="n">
        <x:v>125.73</x:v>
      </x:c>
      <x:c r="D60" s="13" t="n">
        <x:f>ROUND(C60-B60,2)</x:f>
        <x:v>88.01</x:v>
      </x:c>
    </x:row>
    <x:row r="61" ht="46" customHeight="1">
      <x:c r="A61" s="9" t="str">
        <x:v>604 S MULBERRY ST, MILLSTADT, IL 62260</x:v>
      </x:c>
      <x:c r="B61" s="11" t="n">
        <x:v>122.66</x:v>
      </x:c>
      <x:c r="C61" s="11" t="n">
        <x:v>408.87</x:v>
      </x:c>
      <x:c r="D61" s="13" t="n">
        <x:f>ROUND(C61-B61,2)</x:f>
        <x:v>286.21</x:v>
      </x:c>
    </x:row>
    <x:row r="62" ht="46" customHeight="1">
      <x:c r="A62" s="14" t="str">
        <x:v>6710 STATE RTE 163, MILLSTADT, IL 62260
Parcel 12-10.0-100-001</x:v>
      </x:c>
      <x:c r="B62" s="15" t="n">
        <x:v>119.47</x:v>
      </x:c>
      <x:c r="C62" s="15" t="n">
        <x:v>398.23</x:v>
      </x:c>
      <x:c r="D62" s="13" t="n">
        <x:f>ROUND(C62-B62,2)</x:f>
        <x:v>278.76</x:v>
      </x:c>
    </x:row>
    <x:row r="63" ht="46" customHeight="1">
      <x:c r="A63" s="9" t="str">
        <x:v>6710 STATE RTE 163, MILLSTADT, IL 62260
Parcel 12-10.0-100-002</x:v>
      </x:c>
      <x:c r="B63" s="11" t="n">
        <x:v>49.06</x:v>
      </x:c>
      <x:c r="C63" s="11" t="n">
        <x:v>163.52</x:v>
      </x:c>
      <x:c r="D63" s="13" t="n">
        <x:f>ROUND(C63-B63,2)</x:f>
        <x:v>114.46</x:v>
      </x:c>
    </x:row>
    <x:row r="64" ht="46" customHeight="1">
      <x:c r="A64" s="14" t="str">
        <x:v>6925 STATE RTE 163, MILLSTADT, IL 62260
Parcel 12-10.0-100-038</x:v>
      </x:c>
      <x:c r="B64" s="15" t="n">
        <x:v>7.43</x:v>
      </x:c>
      <x:c r="C64" s="15" t="n">
        <x:v>24.77</x:v>
      </x:c>
      <x:c r="D64" s="13" t="n">
        <x:f>ROUND(C64-B64,2)</x:f>
        <x:v>17.34</x:v>
      </x:c>
    </x:row>
    <x:row r="65" ht="46" customHeight="1">
      <x:c r="A65" s="9" t="str">
        <x:v>6925 STATE RTE 163, MILLSTADT, IL 62260
Parcel 12-10.0-100-039</x:v>
      </x:c>
      <x:c r="B65" s="11" t="n">
        <x:v>12.45</x:v>
      </x:c>
      <x:c r="C65" s="11" t="n">
        <x:v>41.5</x:v>
      </x:c>
      <x:c r="D65" s="13" t="n">
        <x:f>ROUND(C65-B65,2)</x:f>
        <x:v>29.05</x:v>
      </x:c>
    </x:row>
    <x:row r="66" ht="46" customHeight="1">
      <x:c r="A66" s="14" t="str">
        <x:v>3612 VOGEL SCHOOL RD, WATERLOO, IL 62298</x:v>
      </x:c>
      <x:c r="B66" s="15" t="n">
        <x:v>0</x:v>
      </x:c>
      <x:c r="C66" s="15" t="n">
        <x:v>205.13</x:v>
      </x:c>
      <x:c r="D66" s="13" t="n">
        <x:f>ROUND(C66-B66,2)</x:f>
        <x:v>205.13</x:v>
      </x:c>
    </x:row>
    <x:row r="67" ht="46" customHeight="1">
      <x:c r="A67" s="9" t="str">
        <x:v>3725 WATERLOO RD, WATERLOO, IL 62298</x:v>
      </x:c>
      <x:c r="B67" s="11" t="n">
        <x:v>0</x:v>
      </x:c>
      <x:c r="C67" s="11" t="n">
        <x:v>170.29</x:v>
      </x:c>
      <x:c r="D67" s="13" t="n">
        <x:f>ROUND(C67-B67,2)</x:f>
        <x:v>170.29</x:v>
      </x:c>
    </x:row>
    <x:row r="68" ht="46" customHeight="1">
      <x:c r="A68" s="14" t="str">
        <x:v>3757 WATERLOO RD, WATERLOO, IL 62298</x:v>
      </x:c>
      <x:c r="B68" s="15" t="n">
        <x:v>0</x:v>
      </x:c>
      <x:c r="C68" s="15" t="n">
        <x:v>165.26</x:v>
      </x:c>
      <x:c r="D68" s="13" t="n">
        <x:f>ROUND(C68-B68,2)</x:f>
        <x:v>165.26</x:v>
      </x:c>
    </x:row>
    <x:row r="69" ht="46" customHeight="1">
      <x:c r="A69" s="9" t="str">
        <x:v>3785 WATERLOO RD, WATERLOO, IL 62298</x:v>
      </x:c>
      <x:c r="B69" s="11" t="n">
        <x:v>0</x:v>
      </x:c>
      <x:c r="C69" s="11" t="n">
        <x:v>418.98</x:v>
      </x:c>
      <x:c r="D69" s="13" t="n">
        <x:f>ROUND(C69-B69,2)</x:f>
        <x:v>418.98</x:v>
      </x:c>
    </x:row>
    <x:row r="70" ht="46" customHeight="1">
      <x:c r="A70" s="14" t="str">
        <x:v>3793 WATERLOO RD, WATERLOO, IL 62298</x:v>
      </x:c>
      <x:c r="B70" s="15" t="n">
        <x:v>0</x:v>
      </x:c>
      <x:c r="C70" s="15" t="n">
        <x:v>171.86</x:v>
      </x:c>
      <x:c r="D70" s="13" t="n">
        <x:f>ROUND(C70-B70,2)</x:f>
        <x:v>171.86</x:v>
      </x:c>
    </x:row>
    <x:row r="71" ht="46" customHeight="1">
      <x:c r="A71" s="9" t="str">
        <x:v>3849 WATERLOO RD, WATERLOO, IL 62298</x:v>
      </x:c>
      <x:c r="B71" s="11" t="n">
        <x:v>0</x:v>
      </x:c>
      <x:c r="C71" s="11" t="n">
        <x:v>248.75</x:v>
      </x:c>
      <x:c r="D71" s="13" t="n">
        <x:f>ROUND(C71-B71,2)</x:f>
        <x:v>248.75</x:v>
      </x:c>
    </x:row>
    <x:row r="72" ht="46" customHeight="1">
      <x:c r="A72" s="14" t="str">
        <x:v>3929 WATERLOO RD, WATERLOO, IL 62298</x:v>
      </x:c>
      <x:c r="B72" s="15" t="n">
        <x:v>0</x:v>
      </x:c>
      <x:c r="C72" s="15" t="n">
        <x:v>238.36</x:v>
      </x:c>
      <x:c r="D72" s="13" t="n">
        <x:f>ROUND(C72-B72,2)</x:f>
        <x:v>238.36</x:v>
      </x:c>
    </x:row>
  </x:sheetData>
  <x:sheetProtection algorithmName="SHA-512" hashValue="8CITukPXRqujhW4pqk8enw+Ppw7D5jVamr/2dp+UqMqv+tGleqUxh6R8foTNK4G2+BEMfr11I1dtV0F+a5a4mQ==" saltValue="SLjpprRfvkqFH38kjq+CRg==" spinCount="100000" sheet="1" objects="1" scenarios="1"/>
  <x:pageMargins left="0.7" right="0.7" top="0.75" bottom="0.75" header="0.3" footer="0.3"/>
</x:worksheet>
</file>