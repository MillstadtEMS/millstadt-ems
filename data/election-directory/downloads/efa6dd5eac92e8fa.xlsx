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ac85fa40044af" /></Relationships>
</file>

<file path=xl/workbook.xml><?xml version="1.0" encoding="utf-8"?>
<x:workbook xmlns:x="http://schemas.openxmlformats.org/spreadsheetml/2006/main">
  <x:workbookProtection workbookAlgorithmName="SHA-512" workbookHashValue="L0giU3I97f8BaPGYmffBrZBm+FD7W3OzZG5nrwrziuXYgp16rmkHUc260YKJY2hgN8alqPvsSM7/JIv5yt3iqw==" workbookSaltValue="1GBLZRyUKbBX5P/osKJ+5w==" workbookSpinCount="100000" lockStructure="1"/>
  <x:sheets>
    <x:sheet xmlns:r="http://schemas.openxmlformats.org/officeDocument/2006/relationships" name="Annual EMS taxes" sheetId="1" r:id="R7edccbd3169b41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7aa40152f94829" /><Relationship Type="http://schemas.openxmlformats.org/officeDocument/2006/relationships/theme" Target="/xl/theme/theme1.xml" Id="R12774b31dfc443b9" /><Relationship Type="http://schemas.openxmlformats.org/officeDocument/2006/relationships/sharedStrings" Target="/xl/sharedStrings.xml" Id="R189dc13d10e94700" /><Relationship Type="http://schemas.openxmlformats.org/officeDocument/2006/relationships/worksheet" Target="/xl/worksheets/sheet1.xml" Id="R7edccbd3169b41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16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805 S JACKSON ST, MILLSTADT, IL 62260
Parcel 12-16.0-200-036</x:v>
      </x:c>
      <x:c r="B7" s="11" t="n">
        <x:v>95.85</x:v>
      </x:c>
      <x:c r="C7" s="11" t="n">
        <x:v>319.49</x:v>
      </x:c>
      <x:c r="D7" s="13" t="n">
        <x:f>ROUND(C7-B7,2)</x:f>
        <x:v>223.64</x:v>
      </x:c>
    </x:row>
    <x:row r="8" ht="46" customHeight="1">
      <x:c r="A8" s="14" t="str">
        <x:v>805 S JACKSON ST, MILLSTADT, IL 62260
Parcel 12-16.0-200-037</x:v>
      </x:c>
      <x:c r="B8" s="15" t="n">
        <x:v>8.96</x:v>
      </x:c>
      <x:c r="C8" s="15" t="n">
        <x:v>29.85</x:v>
      </x:c>
      <x:c r="D8" s="13" t="n">
        <x:f>ROUND(C8-B8,2)</x:f>
        <x:v>20.89</x:v>
      </x:c>
    </x:row>
    <x:row r="9" ht="46" customHeight="1">
      <x:c r="A9" s="9" t="str">
        <x:v>805 S JACKSON ST, MILLSTADT, IL 62260
Parcel 12-16.0-200-045</x:v>
      </x:c>
      <x:c r="B9" s="11" t="n">
        <x:v>11.1</x:v>
      </x:c>
      <x:c r="C9" s="11" t="n">
        <x:v>37</x:v>
      </x:c>
      <x:c r="D9" s="13" t="n">
        <x:f>ROUND(C9-B9,2)</x:f>
        <x:v>25.9</x:v>
      </x:c>
    </x:row>
    <x:row r="10" ht="46" customHeight="1">
      <x:c r="A10" s="14" t="str">
        <x:v>1225 S JEFFERSON RD, MILLSTADT, IL 62260</x:v>
      </x:c>
      <x:c r="B10" s="15" t="n">
        <x:v>21.9</x:v>
      </x:c>
      <x:c r="C10" s="15" t="n">
        <x:v>72.99</x:v>
      </x:c>
      <x:c r="D10" s="13" t="n">
        <x:f>ROUND(C10-B10,2)</x:f>
        <x:v>51.09</x:v>
      </x:c>
    </x:row>
    <x:row r="11" ht="46" customHeight="1">
      <x:c r="A11" s="9" t="str">
        <x:v>907 S JEFFERSON ST, MILLSTADT, IL 62260</x:v>
      </x:c>
      <x:c r="B11" s="11" t="n">
        <x:v>111.87</x:v>
      </x:c>
      <x:c r="C11" s="11" t="n">
        <x:v>372.92</x:v>
      </x:c>
      <x:c r="D11" s="13" t="n">
        <x:f>ROUND(C11-B11,2)</x:f>
        <x:v>261.05</x:v>
      </x:c>
    </x:row>
    <x:row r="12" ht="46" customHeight="1">
      <x:c r="A12" s="14" t="str">
        <x:v>915 S JEFFERSON ST, MILLSTADT, IL 62260</x:v>
      </x:c>
      <x:c r="B12" s="15" t="n">
        <x:v>132</x:v>
      </x:c>
      <x:c r="C12" s="15" t="n">
        <x:v>440.02</x:v>
      </x:c>
      <x:c r="D12" s="13" t="n">
        <x:f>ROUND(C12-B12,2)</x:f>
        <x:v>308.02</x:v>
      </x:c>
    </x:row>
    <x:row r="13" ht="46" customHeight="1">
      <x:c r="A13" s="9" t="str">
        <x:v>923 S JEFFERSON ST, MILLSTADT, IL 62260</x:v>
      </x:c>
      <x:c r="B13" s="11" t="n">
        <x:v>109.28</x:v>
      </x:c>
      <x:c r="C13" s="11" t="n">
        <x:v>364.28</x:v>
      </x:c>
      <x:c r="D13" s="13" t="n">
        <x:f>ROUND(C13-B13,2)</x:f>
        <x:v>255</x:v>
      </x:c>
    </x:row>
    <x:row r="14" ht="46" customHeight="1">
      <x:c r="A14" s="14" t="str">
        <x:v>1031 S JEFFERSON ST, MILLSTADT, IL 62260</x:v>
      </x:c>
      <x:c r="B14" s="15" t="n">
        <x:v>52.91</x:v>
      </x:c>
      <x:c r="C14" s="15" t="n">
        <x:v>176.37</x:v>
      </x:c>
      <x:c r="D14" s="13" t="n">
        <x:f>ROUND(C14-B14,2)</x:f>
        <x:v>123.46</x:v>
      </x:c>
    </x:row>
    <x:row r="15" ht="46" customHeight="1">
      <x:c r="A15" s="9" t="str">
        <x:v>1035 S JEFFERSON ST, MILLSTADT, IL 62260</x:v>
      </x:c>
      <x:c r="B15" s="11" t="n">
        <x:v>83.67</x:v>
      </x:c>
      <x:c r="C15" s="11" t="n">
        <x:v>278.91</x:v>
      </x:c>
      <x:c r="D15" s="13" t="n">
        <x:f>ROUND(C15-B15,2)</x:f>
        <x:v>195.24</x:v>
      </x:c>
    </x:row>
    <x:row r="16" ht="46" customHeight="1">
      <x:c r="A16" s="14" t="str">
        <x:v>1055 S JEFFERSON ST, MILLSTADT, IL 62260</x:v>
      </x:c>
      <x:c r="B16" s="15" t="n">
        <x:v>100.87</x:v>
      </x:c>
      <x:c r="C16" s="15" t="n">
        <x:v>336.24</x:v>
      </x:c>
      <x:c r="D16" s="13" t="n">
        <x:f>ROUND(C16-B16,2)</x:f>
        <x:v>235.37</x:v>
      </x:c>
    </x:row>
    <x:row r="17" ht="46" customHeight="1">
      <x:c r="A17" s="9" t="str">
        <x:v>1059 S JEFFERSON ST, MILLSTADT, IL 62260</x:v>
      </x:c>
      <x:c r="B17" s="11" t="n">
        <x:v>53.79</x:v>
      </x:c>
      <x:c r="C17" s="11" t="n">
        <x:v>179.3</x:v>
      </x:c>
      <x:c r="D17" s="13" t="n">
        <x:f>ROUND(C17-B17,2)</x:f>
        <x:v>125.51</x:v>
      </x:c>
    </x:row>
    <x:row r="18" ht="46" customHeight="1">
      <x:c r="A18" s="14" t="str">
        <x:v>1063 S JEFFERSON ST, MILLSTADT, IL 62260</x:v>
      </x:c>
      <x:c r="B18" s="15" t="n">
        <x:v>59.94</x:v>
      </x:c>
      <x:c r="C18" s="15" t="n">
        <x:v>199.81</x:v>
      </x:c>
      <x:c r="D18" s="13" t="n">
        <x:f>ROUND(C18-B18,2)</x:f>
        <x:v>139.87</x:v>
      </x:c>
    </x:row>
    <x:row r="19" ht="46" customHeight="1">
      <x:c r="A19" s="9" t="str">
        <x:v>1067 S JEFFERSON ST, MILLSTADT, IL 62260</x:v>
      </x:c>
      <x:c r="B19" s="11" t="n">
        <x:v>59.82</x:v>
      </x:c>
      <x:c r="C19" s="11" t="n">
        <x:v>199.42</x:v>
      </x:c>
      <x:c r="D19" s="13" t="n">
        <x:f>ROUND(C19-B19,2)</x:f>
        <x:v>139.6</x:v>
      </x:c>
    </x:row>
    <x:row r="20" ht="46" customHeight="1">
      <x:c r="A20" s="14" t="str">
        <x:v>1125 S JEFFERSON ST, MILLSTADT, IL 62260</x:v>
      </x:c>
      <x:c r="B20" s="15" t="n">
        <x:v>50.33</x:v>
      </x:c>
      <x:c r="C20" s="15" t="n">
        <x:v>167.75</x:v>
      </x:c>
      <x:c r="D20" s="13" t="n">
        <x:f>ROUND(C20-B20,2)</x:f>
        <x:v>117.42</x:v>
      </x:c>
    </x:row>
    <x:row r="21" ht="46" customHeight="1">
      <x:c r="A21" s="9" t="str">
        <x:v>805 S LAFAYETTE ST, MILLSTADT, IL 62260</x:v>
      </x:c>
      <x:c r="B21" s="11" t="n">
        <x:v>56.35</x:v>
      </x:c>
      <x:c r="C21" s="11" t="n">
        <x:v>187.84</x:v>
      </x:c>
      <x:c r="D21" s="13" t="n">
        <x:f>ROUND(C21-B21,2)</x:f>
        <x:v>131.49</x:v>
      </x:c>
    </x:row>
    <x:row r="22" ht="46" customHeight="1">
      <x:c r="A22" s="14" t="str">
        <x:v>804 S MONROE ST, MILLSTADT, IL 62260
Parcel 12-16.0-200-040</x:v>
      </x:c>
      <x:c r="B22" s="15" t="n">
        <x:v>100.03</x:v>
      </x:c>
      <x:c r="C22" s="15" t="n">
        <x:v>333.42</x:v>
      </x:c>
      <x:c r="D22" s="13" t="n">
        <x:f>ROUND(C22-B22,2)</x:f>
        <x:v>233.39</x:v>
      </x:c>
    </x:row>
    <x:row r="23" ht="46" customHeight="1">
      <x:c r="A23" s="9" t="str">
        <x:v>804 S MONROE ST, MILLSTADT, IL 62260
Parcel 12-16.0-200-047</x:v>
      </x:c>
      <x:c r="B23" s="11" t="n">
        <x:v>2.36</x:v>
      </x:c>
      <x:c r="C23" s="11" t="n">
        <x:v>7.87</x:v>
      </x:c>
      <x:c r="D23" s="13" t="n">
        <x:f>ROUND(C23-B23,2)</x:f>
        <x:v>5.51</x:v>
      </x:c>
    </x:row>
    <x:row r="24" ht="46" customHeight="1">
      <x:c r="A24" s="14" t="str">
        <x:v>805 S MONROE ST, MILLSTADT, IL 62260</x:v>
      </x:c>
      <x:c r="B24" s="15" t="n">
        <x:v>56.02</x:v>
      </x:c>
      <x:c r="C24" s="15" t="n">
        <x:v>186.75</x:v>
      </x:c>
      <x:c r="D24" s="13" t="n">
        <x:f>ROUND(C24-B24,2)</x:f>
        <x:v>130.73</x:v>
      </x:c>
    </x:row>
    <x:row r="25" ht="46" customHeight="1">
      <x:c r="A25" s="9" t="str">
        <x:v>811 S POLK ST, MILLSTADT, IL 62260</x:v>
      </x:c>
      <x:c r="B25" s="11" t="n">
        <x:v>0</x:v>
      </x:c>
      <x:c r="C25" s="11" t="n">
        <x:v>0</x:v>
      </x:c>
      <x:c r="D25" s="13" t="n">
        <x:f>ROUND(C25-B25,2)</x:f>
        <x:v>0</x:v>
      </x:c>
    </x:row>
    <x:row r="26" ht="46" customHeight="1">
      <x:c r="A26" s="14" t="str">
        <x:v>815 S POLK ST, MILLSTADT, IL 62260</x:v>
      </x:c>
      <x:c r="B26" s="15" t="n">
        <x:v>68.83</x:v>
      </x:c>
      <x:c r="C26" s="15" t="n">
        <x:v>229.42</x:v>
      </x:c>
      <x:c r="D26" s="13" t="n">
        <x:f>ROUND(C26-B26,2)</x:f>
        <x:v>160.59</x:v>
      </x:c>
    </x:row>
    <x:row r="27" ht="46" customHeight="1">
      <x:c r="A27" s="9" t="str">
        <x:v>6125 SAXTOWN RD, MILLSTADT, IL 62260</x:v>
      </x:c>
      <x:c r="B27" s="11" t="n">
        <x:v>4.17</x:v>
      </x:c>
      <x:c r="C27" s="11" t="n">
        <x:v>13.91</x:v>
      </x:c>
      <x:c r="D27" s="13" t="n">
        <x:f>ROUND(C27-B27,2)</x:f>
        <x:v>9.74</x:v>
      </x:c>
    </x:row>
    <x:row r="28" ht="46" customHeight="1">
      <x:c r="A28" s="14" t="str">
        <x:v>6133 SAXTOWN RD, MILLSTADT, IL 62260</x:v>
      </x:c>
      <x:c r="B28" s="15" t="n">
        <x:v>4.22</x:v>
      </x:c>
      <x:c r="C28" s="15" t="n">
        <x:v>14.06</x:v>
      </x:c>
      <x:c r="D28" s="13" t="n">
        <x:f>ROUND(C28-B28,2)</x:f>
        <x:v>9.84</x:v>
      </x:c>
    </x:row>
    <x:row r="29" ht="46" customHeight="1">
      <x:c r="A29" s="9" t="str">
        <x:v>6151 SAXTOWN RD, MILLSTADT, IL 62260</x:v>
      </x:c>
      <x:c r="B29" s="11" t="n">
        <x:v>176.71</x:v>
      </x:c>
      <x:c r="C29" s="11" t="n">
        <x:v>589.04</x:v>
      </x:c>
      <x:c r="D29" s="13" t="n">
        <x:f>ROUND(C29-B29,2)</x:f>
        <x:v>412.33</x:v>
      </x:c>
    </x:row>
    <x:row r="30" ht="46" customHeight="1">
      <x:c r="A30" s="14" t="str">
        <x:v>6152 SAXTOWN RD, MILLSTADT, IL 62260
Parcel 12-16.0-400-003</x:v>
      </x:c>
      <x:c r="B30" s="15" t="n">
        <x:v>10.76</x:v>
      </x:c>
      <x:c r="C30" s="15" t="n">
        <x:v>35.86</x:v>
      </x:c>
      <x:c r="D30" s="13" t="n">
        <x:f>ROUND(C30-B30,2)</x:f>
        <x:v>25.1</x:v>
      </x:c>
    </x:row>
    <x:row r="31" ht="46" customHeight="1">
      <x:c r="A31" s="9" t="str">
        <x:v>6152 SAXTOWN RD, MILLSTADT, IL 62260
Parcel 12-16.0-400-009</x:v>
      </x:c>
      <x:c r="B31" s="11" t="n">
        <x:v>43.44</x:v>
      </x:c>
      <x:c r="C31" s="11" t="n">
        <x:v>144.79</x:v>
      </x:c>
      <x:c r="D31" s="13" t="n">
        <x:f>ROUND(C31-B31,2)</x:f>
        <x:v>101.35</x:v>
      </x:c>
    </x:row>
    <x:row r="32" ht="46" customHeight="1">
      <x:c r="A32" s="14" t="str">
        <x:v>6157 SAXTOWN RD, MILLSTADT, IL 62260</x:v>
      </x:c>
      <x:c r="B32" s="15" t="n">
        <x:v>75.15</x:v>
      </x:c>
      <x:c r="C32" s="15" t="n">
        <x:v>250.51</x:v>
      </x:c>
      <x:c r="D32" s="13" t="n">
        <x:f>ROUND(C32-B32,2)</x:f>
        <x:v>175.36</x:v>
      </x:c>
    </x:row>
    <x:row r="33" ht="46" customHeight="1">
      <x:c r="A33" s="9" t="str">
        <x:v>6163 SAXTOWN RD, MILLSTADT, IL 62260</x:v>
      </x:c>
      <x:c r="B33" s="11" t="n">
        <x:v>91.13</x:v>
      </x:c>
      <x:c r="C33" s="11" t="n">
        <x:v>303.76</x:v>
      </x:c>
      <x:c r="D33" s="13" t="n">
        <x:f>ROUND(C33-B33,2)</x:f>
        <x:v>212.63</x:v>
      </x:c>
    </x:row>
    <x:row r="34" ht="46" customHeight="1">
      <x:c r="A34" s="14" t="str">
        <x:v>6510 STATE RTE 158, MILLSTADT, IL 62260</x:v>
      </x:c>
      <x:c r="B34" s="15" t="n">
        <x:v>122.41</x:v>
      </x:c>
      <x:c r="C34" s="15" t="n">
        <x:v>408.03</x:v>
      </x:c>
      <x:c r="D34" s="13" t="n">
        <x:f>ROUND(C34-B34,2)</x:f>
        <x:v>285.62</x:v>
      </x:c>
    </x:row>
    <x:row r="35" ht="46" customHeight="1">
      <x:c r="A35" s="9" t="str">
        <x:v>6535 STATE RTE 158, MILLSTADT, IL 62260</x:v>
      </x:c>
      <x:c r="B35" s="11" t="n">
        <x:v>43.18</x:v>
      </x:c>
      <x:c r="C35" s="11" t="n">
        <x:v>143.93</x:v>
      </x:c>
      <x:c r="D35" s="13" t="n">
        <x:f>ROUND(C35-B35,2)</x:f>
        <x:v>100.75</x:v>
      </x:c>
    </x:row>
    <x:row r="36" ht="46" customHeight="1">
      <x:c r="A36" s="14" t="str">
        <x:v>0 WERNER RD, MILLSTADT, IL 62260</x:v>
      </x:c>
      <x:c r="B36" s="15" t="n">
        <x:v>1.62</x:v>
      </x:c>
      <x:c r="C36" s="15" t="n">
        <x:v>5.4</x:v>
      </x:c>
      <x:c r="D36" s="13" t="n">
        <x:f>ROUND(C36-B36,2)</x:f>
        <x:v>3.78</x:v>
      </x:c>
    </x:row>
    <x:row r="37" ht="46" customHeight="1">
      <x:c r="A37" s="9" t="str">
        <x:v>6111 WERNER RD, MILLSTADT, IL 62260</x:v>
      </x:c>
      <x:c r="B37" s="11" t="n">
        <x:v>74.5</x:v>
      </x:c>
      <x:c r="C37" s="11" t="n">
        <x:v>248.34</x:v>
      </x:c>
      <x:c r="D37" s="13" t="n">
        <x:f>ROUND(C37-B37,2)</x:f>
        <x:v>173.84</x:v>
      </x:c>
    </x:row>
    <x:row r="38" ht="46" customHeight="1">
      <x:c r="A38" s="14" t="str">
        <x:v>6137 WERNER RD, MILLSTADT, IL 62260</x:v>
      </x:c>
      <x:c r="B38" s="15" t="n">
        <x:v>8.7</x:v>
      </x:c>
      <x:c r="C38" s="15" t="n">
        <x:v>29.01</x:v>
      </x:c>
      <x:c r="D38" s="13" t="n">
        <x:f>ROUND(C38-B38,2)</x:f>
        <x:v>20.31</x:v>
      </x:c>
    </x:row>
    <x:row r="39" ht="46" customHeight="1">
      <x:c r="A39" s="9" t="str">
        <x:v>6160 WERNER RD, MILLSTADT, IL 62260</x:v>
      </x:c>
      <x:c r="B39" s="11" t="n">
        <x:v>4.65</x:v>
      </x:c>
      <x:c r="C39" s="11" t="n">
        <x:v>15.5</x:v>
      </x:c>
      <x:c r="D39" s="13" t="n">
        <x:f>ROUND(C39-B39,2)</x:f>
        <x:v>10.85</x:v>
      </x:c>
    </x:row>
    <x:row r="40" ht="46" customHeight="1">
      <x:c r="A40" s="14" t="str">
        <x:v>6200 WERNER RD, MILLSTADT, IL 62260</x:v>
      </x:c>
      <x:c r="B40" s="15" t="n">
        <x:v>46.35</x:v>
      </x:c>
      <x:c r="C40" s="15" t="n">
        <x:v>154.52</x:v>
      </x:c>
      <x:c r="D40" s="13" t="n">
        <x:f>ROUND(C40-B40,2)</x:f>
        <x:v>108.17</x:v>
      </x:c>
    </x:row>
    <x:row r="41" ht="46" customHeight="1">
      <x:c r="A41" s="9" t="str">
        <x:v>6244 WERNER RD, MILLSTADT, IL 62260</x:v>
      </x:c>
      <x:c r="B41" s="11" t="n">
        <x:v>25.93</x:v>
      </x:c>
      <x:c r="C41" s="11" t="n">
        <x:v>86.45</x:v>
      </x:c>
      <x:c r="D41" s="13" t="n">
        <x:f>ROUND(C41-B41,2)</x:f>
        <x:v>60.52</x:v>
      </x:c>
    </x:row>
    <x:row r="42" ht="46" customHeight="1">
      <x:c r="A42" s="14" t="str">
        <x:v>6250 WERNER RD, MILLSTADT, IL 62260</x:v>
      </x:c>
      <x:c r="B42" s="15" t="n">
        <x:v>157.21</x:v>
      </x:c>
      <x:c r="C42" s="15" t="n">
        <x:v>524.03</x:v>
      </x:c>
      <x:c r="D42" s="13" t="n">
        <x:f>ROUND(C42-B42,2)</x:f>
        <x:v>366.82</x:v>
      </x:c>
    </x:row>
    <x:row r="43" ht="46" customHeight="1">
      <x:c r="A43" s="9" t="str">
        <x:v>6256 WERNER RD, MILLSTADT, IL 62260</x:v>
      </x:c>
      <x:c r="B43" s="11" t="n">
        <x:v>46.18</x:v>
      </x:c>
      <x:c r="C43" s="11" t="n">
        <x:v>153.95</x:v>
      </x:c>
      <x:c r="D43" s="13" t="n">
        <x:f>ROUND(C43-B43,2)</x:f>
        <x:v>107.77</x:v>
      </x:c>
    </x:row>
    <x:row r="44" ht="46" customHeight="1">
      <x:c r="A44" s="14" t="str">
        <x:v>6330 WERNER RD, MILLSTADT, IL 62260</x:v>
      </x:c>
      <x:c r="B44" s="15" t="n">
        <x:v>53.91</x:v>
      </x:c>
      <x:c r="C44" s="15" t="n">
        <x:v>179.71</x:v>
      </x:c>
      <x:c r="D44" s="13" t="n">
        <x:f>ROUND(C44-B44,2)</x:f>
        <x:v>125.8</x:v>
      </x:c>
    </x:row>
    <x:row r="45" ht="46" customHeight="1">
      <x:c r="A45" s="9" t="str">
        <x:v>6336 WERNER RD, MILLSTADT, IL 62260</x:v>
      </x:c>
      <x:c r="B45" s="11" t="n">
        <x:v>48.9</x:v>
      </x:c>
      <x:c r="C45" s="11" t="n">
        <x:v>163.01</x:v>
      </x:c>
      <x:c r="D45" s="13" t="n">
        <x:f>ROUND(C45-B45,2)</x:f>
        <x:v>114.11</x:v>
      </x:c>
    </x:row>
  </x:sheetData>
  <x:sheetProtection algorithmName="SHA-512" hashValue="L0giU3I97f8BaPGYmffBrZBm+FD7W3OzZG5nrwrziuXYgp16rmkHUc260YKJY2hgN8alqPvsSM7/JIv5yt3iqw==" saltValue="1GBLZRyUKbBX5P/osKJ+5w==" spinCount="100000" sheet="1" objects="1" scenarios="1"/>
  <x:pageMargins left="0.7" right="0.7" top="0.75" bottom="0.75" header="0.3" footer="0.3"/>
</x:worksheet>
</file>