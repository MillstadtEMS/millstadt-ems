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40098dcd349bc" /></Relationships>
</file>

<file path=xl/workbook.xml><?xml version="1.0" encoding="utf-8"?>
<x:workbook xmlns:x="http://schemas.openxmlformats.org/spreadsheetml/2006/main">
  <x:workbookProtection workbookAlgorithmName="SHA-512" workbookHashValue="AiZFQW5AyU/ZF0hH7M+Nw9Plj6wAoCk+K4WK7ZU7Qa2/x4h4P2aW+IC3Ul5HSQWGqF85XurbI0uTCreb9wKNIQ==" workbookSaltValue="AffysbfoDHldLJlV0XrcjQ==" workbookSpinCount="100000" lockStructure="1"/>
  <x:sheets>
    <x:sheet xmlns:r="http://schemas.openxmlformats.org/officeDocument/2006/relationships" name="Annual EMS taxes" sheetId="1" r:id="R8a9010728a8e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c605e5f7e40b9" /><Relationship Type="http://schemas.openxmlformats.org/officeDocument/2006/relationships/theme" Target="/xl/theme/theme1.xml" Id="R863850c446f44ec3" /><Relationship Type="http://schemas.openxmlformats.org/officeDocument/2006/relationships/sharedStrings" Target="/xl/sharedStrings.xml" Id="R4e8665c27e2240d9" /><Relationship Type="http://schemas.openxmlformats.org/officeDocument/2006/relationships/worksheet" Target="/xl/worksheets/sheet1.xml" Id="R8a9010728a8e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23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4023 DOUGLAS RD, MILLSTADT, IL 62260</x:v>
      </x:c>
      <x:c r="B7" s="11" t="n">
        <x:v>116.36</x:v>
      </x:c>
      <x:c r="C7" s="11" t="n">
        <x:v>387.86</x:v>
      </x:c>
      <x:c r="D7" s="13" t="n">
        <x:f>ROUND(C7-B7,2)</x:f>
        <x:v>271.5</x:v>
      </x:c>
    </x:row>
    <x:row r="8" ht="46" customHeight="1">
      <x:c r="A8" s="14" t="str">
        <x:v>4027 DOUGLAS RD, MILLSTADT, IL 62260</x:v>
      </x:c>
      <x:c r="B8" s="15" t="n">
        <x:v>97.52</x:v>
      </x:c>
      <x:c r="C8" s="15" t="n">
        <x:v>325.05</x:v>
      </x:c>
      <x:c r="D8" s="13" t="n">
        <x:f>ROUND(C8-B8,2)</x:f>
        <x:v>227.53</x:v>
      </x:c>
    </x:row>
    <x:row r="9" ht="46" customHeight="1">
      <x:c r="A9" s="9" t="str">
        <x:v>4065 DOUGLAS RD, MILLSTADT, IL 62260</x:v>
      </x:c>
      <x:c r="B9" s="11" t="n">
        <x:v>28.46</x:v>
      </x:c>
      <x:c r="C9" s="11" t="n">
        <x:v>94.86</x:v>
      </x:c>
      <x:c r="D9" s="13" t="n">
        <x:f>ROUND(C9-B9,2)</x:f>
        <x:v>66.4</x:v>
      </x:c>
    </x:row>
    <x:row r="10" ht="46" customHeight="1">
      <x:c r="A10" s="14" t="str">
        <x:v>4076 DOUGLAS RD, MILLSTADT, IL 62260</x:v>
      </x:c>
      <x:c r="B10" s="15" t="n">
        <x:v>70.68</x:v>
      </x:c>
      <x:c r="C10" s="15" t="n">
        <x:v>235.59</x:v>
      </x:c>
      <x:c r="D10" s="13" t="n">
        <x:f>ROUND(C10-B10,2)</x:f>
        <x:v>164.91</x:v>
      </x:c>
    </x:row>
    <x:row r="11" ht="46" customHeight="1">
      <x:c r="A11" s="9" t="str">
        <x:v>4100 DOUGLAS RD, MILLSTADT, IL 62260</x:v>
      </x:c>
      <x:c r="B11" s="11" t="n">
        <x:v>63.46</x:v>
      </x:c>
      <x:c r="C11" s="11" t="n">
        <x:v>211.53</x:v>
      </x:c>
      <x:c r="D11" s="13" t="n">
        <x:f>ROUND(C11-B11,2)</x:f>
        <x:v>148.07</x:v>
      </x:c>
    </x:row>
    <x:row r="12" ht="46" customHeight="1">
      <x:c r="A12" s="14" t="str">
        <x:v>4125 DOUGLAS RD, MILLSTADT, IL 62260</x:v>
      </x:c>
      <x:c r="B12" s="15" t="n">
        <x:v>55.14</x:v>
      </x:c>
      <x:c r="C12" s="15" t="n">
        <x:v>183.82</x:v>
      </x:c>
      <x:c r="D12" s="13" t="n">
        <x:f>ROUND(C12-B12,2)</x:f>
        <x:v>128.68</x:v>
      </x:c>
    </x:row>
    <x:row r="13" ht="46" customHeight="1">
      <x:c r="A13" s="9" t="str">
        <x:v>4164 DOUGLAS RD, MILLSTADT, IL 62260</x:v>
      </x:c>
      <x:c r="B13" s="11" t="n">
        <x:v>29.15</x:v>
      </x:c>
      <x:c r="C13" s="11" t="n">
        <x:v>97.16</x:v>
      </x:c>
      <x:c r="D13" s="13" t="n">
        <x:f>ROUND(C13-B13,2)</x:f>
        <x:v>68.01</x:v>
      </x:c>
    </x:row>
    <x:row r="14" ht="46" customHeight="1">
      <x:c r="A14" s="14" t="str">
        <x:v>4202 DOUGLAS RD, MILLSTADT, IL 62260</x:v>
      </x:c>
      <x:c r="B14" s="15" t="n">
        <x:v>66.63</x:v>
      </x:c>
      <x:c r="C14" s="15" t="n">
        <x:v>222.1</x:v>
      </x:c>
      <x:c r="D14" s="13" t="n">
        <x:f>ROUND(C14-B14,2)</x:f>
        <x:v>155.47</x:v>
      </x:c>
    </x:row>
    <x:row r="15" ht="46" customHeight="1">
      <x:c r="A15" s="9" t="str">
        <x:v>4263 DOUGLAS RD, MILLSTADT, IL 62260
Parcel 12-23.0-200-002</x:v>
      </x:c>
      <x:c r="B15" s="11" t="n">
        <x:v>77.8</x:v>
      </x:c>
      <x:c r="C15" s="11" t="n">
        <x:v>259.32</x:v>
      </x:c>
      <x:c r="D15" s="13" t="n">
        <x:f>ROUND(C15-B15,2)</x:f>
        <x:v>181.52</x:v>
      </x:c>
    </x:row>
    <x:row r="16" ht="46" customHeight="1">
      <x:c r="A16" s="14" t="str">
        <x:v>4263 DOUGLAS RD, MILLSTADT, IL 62260
Parcel 12-23.0-200-006</x:v>
      </x:c>
      <x:c r="B16" s="15" t="n">
        <x:v>28.05</x:v>
      </x:c>
      <x:c r="C16" s="15" t="n">
        <x:v>93.49</x:v>
      </x:c>
      <x:c r="D16" s="13" t="n">
        <x:f>ROUND(C16-B16,2)</x:f>
        <x:v>65.44</x:v>
      </x:c>
    </x:row>
    <x:row r="17" ht="46" customHeight="1">
      <x:c r="A17" s="9" t="str">
        <x:v>4303 DOUGLAS RD, MILLSTADT, IL 62260</x:v>
      </x:c>
      <x:c r="B17" s="11" t="n">
        <x:v>104.6</x:v>
      </x:c>
      <x:c r="C17" s="11" t="n">
        <x:v>348.68</x:v>
      </x:c>
      <x:c r="D17" s="13" t="n">
        <x:f>ROUND(C17-B17,2)</x:f>
        <x:v>244.08</x:v>
      </x:c>
    </x:row>
    <x:row r="18" ht="46" customHeight="1">
      <x:c r="A18" s="14" t="str">
        <x:v>4344 DOUGLAS RD, MILLSTADT, IL 62260</x:v>
      </x:c>
      <x:c r="B18" s="15" t="n">
        <x:v>20.67</x:v>
      </x:c>
      <x:c r="C18" s="15" t="n">
        <x:v>68.89</x:v>
      </x:c>
      <x:c r="D18" s="13" t="n">
        <x:f>ROUND(C18-B18,2)</x:f>
        <x:v>48.22</x:v>
      </x:c>
    </x:row>
    <x:row r="19" ht="46" customHeight="1">
      <x:c r="A19" s="9" t="str">
        <x:v>4345 DOUGLAS RD, MILLSTADT, IL 62260</x:v>
      </x:c>
      <x:c r="B19" s="11" t="n">
        <x:v>0.67</x:v>
      </x:c>
      <x:c r="C19" s="11" t="n">
        <x:v>2.23</x:v>
      </x:c>
      <x:c r="D19" s="13" t="n">
        <x:f>ROUND(C19-B19,2)</x:f>
        <x:v>1.56</x:v>
      </x:c>
    </x:row>
    <x:row r="20" ht="46" customHeight="1">
      <x:c r="A20" s="14" t="str">
        <x:v>5600 FLORAVILLE RD, MILLSTADT, IL 62260</x:v>
      </x:c>
      <x:c r="B20" s="15" t="n">
        <x:v>55.58</x:v>
      </x:c>
      <x:c r="C20" s="15" t="n">
        <x:v>185.25</x:v>
      </x:c>
      <x:c r="D20" s="13" t="n">
        <x:f>ROUND(C20-B20,2)</x:f>
        <x:v>129.67</x:v>
      </x:c>
    </x:row>
  </x:sheetData>
  <x:sheetProtection algorithmName="SHA-512" hashValue="AiZFQW5AyU/ZF0hH7M+Nw9Plj6wAoCk+K4WK7ZU7Qa2/x4h4P2aW+IC3Ul5HSQWGqF85XurbI0uTCreb9wKNIQ==" saltValue="AffysbfoDHldLJlV0XrcjQ==" spinCount="100000" sheet="1" objects="1" scenarios="1"/>
  <x:pageMargins left="0.7" right="0.7" top="0.75" bottom="0.75" header="0.3" footer="0.3"/>
</x:worksheet>
</file>