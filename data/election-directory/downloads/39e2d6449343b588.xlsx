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2297109a24a1a" /></Relationships>
</file>

<file path=xl/workbook.xml><?xml version="1.0" encoding="utf-8"?>
<x:workbook xmlns:x="http://schemas.openxmlformats.org/spreadsheetml/2006/main">
  <x:workbookProtection workbookAlgorithmName="SHA-512" workbookHashValue="QlexMni8ClIZ8iX70WFjWT88eyl/3LVMQywNk1iwTeqyRjDxbrq87L8W5mJRPUwqZyx0M+V2CrwPfuZBqP/ntQ==" workbookSaltValue="mFCXSDH8+RPaeeHLGu1oUA==" workbookSpinCount="100000" lockStructure="1"/>
  <x:sheets>
    <x:sheet xmlns:r="http://schemas.openxmlformats.org/officeDocument/2006/relationships" name="Annual EMS taxes" sheetId="1" r:id="R54d129a4fbfe4c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937a3a3dc47fe" /><Relationship Type="http://schemas.openxmlformats.org/officeDocument/2006/relationships/theme" Target="/xl/theme/theme1.xml" Id="R7d454f4c8fc54650" /><Relationship Type="http://schemas.openxmlformats.org/officeDocument/2006/relationships/sharedStrings" Target="/xl/sharedStrings.xml" Id="Rf7f259adabea4c57" /><Relationship Type="http://schemas.openxmlformats.org/officeDocument/2006/relationships/worksheet" Target="/xl/worksheets/sheet1.xml" Id="R54d129a4fbfe4c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STOOKEY TWP SEC 30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7854 BAILEY LN, MILLSTADT, IL 62260</x:v>
      </x:c>
      <x:c r="B7" s="11" t="n">
        <x:v>22.87</x:v>
      </x:c>
      <x:c r="C7" s="11" t="n">
        <x:v>76.24</x:v>
      </x:c>
      <x:c r="D7" s="13" t="n">
        <x:f>ROUND(C7-B7,2)</x:f>
        <x:v>53.37</x:v>
      </x:c>
    </x:row>
    <x:row r="8" ht="46" customHeight="1">
      <x:c r="A8" s="14" t="str">
        <x:v>7861 BAILEY LN, MILLSTADT, IL 62260</x:v>
      </x:c>
      <x:c r="B8" s="15" t="n">
        <x:v>57.56</x:v>
      </x:c>
      <x:c r="C8" s="15" t="n">
        <x:v>191.85</x:v>
      </x:c>
      <x:c r="D8" s="13" t="n">
        <x:f>ROUND(C8-B8,2)</x:f>
        <x:v>134.29</x:v>
      </x:c>
    </x:row>
    <x:row r="9" ht="46" customHeight="1">
      <x:c r="A9" s="9" t="str">
        <x:v>2719 ECKERT ORCHARD LN, MILLSTADT, IL 62260</x:v>
      </x:c>
      <x:c r="B9" s="11" t="n">
        <x:v>90.25</x:v>
      </x:c>
      <x:c r="C9" s="11" t="n">
        <x:v>300.83</x:v>
      </x:c>
      <x:c r="D9" s="13" t="n">
        <x:f>ROUND(C9-B9,2)</x:f>
        <x:v>210.58</x:v>
      </x:c>
    </x:row>
    <x:row r="10" ht="46" customHeight="1">
      <x:c r="A10" s="14" t="str">
        <x:v>2600 GLAUBER RD, MILLSTADT, IL 62260</x:v>
      </x:c>
      <x:c r="B10" s="15" t="n">
        <x:v>53.28</x:v>
      </x:c>
      <x:c r="C10" s="15" t="n">
        <x:v>177.6</x:v>
      </x:c>
      <x:c r="D10" s="13" t="n">
        <x:f>ROUND(C10-B10,2)</x:f>
        <x:v>124.32</x:v>
      </x:c>
    </x:row>
    <x:row r="11" ht="46" customHeight="1">
      <x:c r="A11" s="9" t="str">
        <x:v>2640 GLAUBER RD, MILLSTADT, IL 62260</x:v>
      </x:c>
      <x:c r="B11" s="11" t="n">
        <x:v>79.95</x:v>
      </x:c>
      <x:c r="C11" s="11" t="n">
        <x:v>266.5</x:v>
      </x:c>
      <x:c r="D11" s="13" t="n">
        <x:f>ROUND(C11-B11,2)</x:f>
        <x:v>186.55</x:v>
      </x:c>
    </x:row>
    <x:row r="12" ht="46" customHeight="1">
      <x:c r="A12" s="14" t="str">
        <x:v>2644 GLAUBER RD, MILLSTADT, IL 62260</x:v>
      </x:c>
      <x:c r="B12" s="15" t="n">
        <x:v>11.3</x:v>
      </x:c>
      <x:c r="C12" s="15" t="n">
        <x:v>37.68</x:v>
      </x:c>
      <x:c r="D12" s="13" t="n">
        <x:f>ROUND(C12-B12,2)</x:f>
        <x:v>26.38</x:v>
      </x:c>
    </x:row>
    <x:row r="13" ht="46" customHeight="1">
      <x:c r="A13" s="9" t="str">
        <x:v>2650 GLAUBER RD, MILLSTADT, IL 62260</x:v>
      </x:c>
      <x:c r="B13" s="11" t="n">
        <x:v>18.11</x:v>
      </x:c>
      <x:c r="C13" s="11" t="n">
        <x:v>60.35</x:v>
      </x:c>
      <x:c r="D13" s="13" t="n">
        <x:f>ROUND(C13-B13,2)</x:f>
        <x:v>42.24</x:v>
      </x:c>
    </x:row>
    <x:row r="14" ht="46" customHeight="1">
      <x:c r="A14" s="14" t="str">
        <x:v>2713 GLAUBER RD, MILLSTADT, IL 62260</x:v>
      </x:c>
      <x:c r="B14" s="15" t="n">
        <x:v>112.67</x:v>
      </x:c>
      <x:c r="C14" s="15" t="n">
        <x:v>375.56</x:v>
      </x:c>
      <x:c r="D14" s="13" t="n">
        <x:f>ROUND(C14-B14,2)</x:f>
        <x:v>262.89</x:v>
      </x:c>
    </x:row>
    <x:row r="15" ht="46" customHeight="1">
      <x:c r="A15" s="9" t="str">
        <x:v>2714 GLAUBER RD, MILLSTADT, IL 62260</x:v>
      </x:c>
      <x:c r="B15" s="11" t="n">
        <x:v>148.3</x:v>
      </x:c>
      <x:c r="C15" s="11" t="n">
        <x:v>494.35</x:v>
      </x:c>
      <x:c r="D15" s="13" t="n">
        <x:f>ROUND(C15-B15,2)</x:f>
        <x:v>346.05</x:v>
      </x:c>
    </x:row>
    <x:row r="16" ht="46" customHeight="1">
      <x:c r="A16" s="14" t="str">
        <x:v>7604 HERTEL RD, MILLSTADT, IL 62260</x:v>
      </x:c>
      <x:c r="B16" s="15" t="n">
        <x:v>53.64</x:v>
      </x:c>
      <x:c r="C16" s="15" t="n">
        <x:v>178.79</x:v>
      </x:c>
      <x:c r="D16" s="13" t="n">
        <x:f>ROUND(C16-B16,2)</x:f>
        <x:v>125.15</x:v>
      </x:c>
    </x:row>
    <x:row r="17" ht="46" customHeight="1">
      <x:c r="A17" s="9" t="str">
        <x:v>7615 HERTEL RD, MILLSTADT, IL 62260</x:v>
      </x:c>
      <x:c r="B17" s="11" t="n">
        <x:v>23.62</x:v>
      </x:c>
      <x:c r="C17" s="11" t="n">
        <x:v>78.73</x:v>
      </x:c>
      <x:c r="D17" s="13" t="n">
        <x:f>ROUND(C17-B17,2)</x:f>
        <x:v>55.11</x:v>
      </x:c>
    </x:row>
    <x:row r="18" ht="46" customHeight="1">
      <x:c r="A18" s="14" t="str">
        <x:v>7622 HERTEL RD, MILLSTADT, IL 62260</x:v>
      </x:c>
      <x:c r="B18" s="15" t="n">
        <x:v>30.99</x:v>
      </x:c>
      <x:c r="C18" s="15" t="n">
        <x:v>103.29</x:v>
      </x:c>
      <x:c r="D18" s="13" t="n">
        <x:f>ROUND(C18-B18,2)</x:f>
        <x:v>72.3</x:v>
      </x:c>
    </x:row>
    <x:row r="19" ht="46" customHeight="1">
      <x:c r="A19" s="9" t="str">
        <x:v>7623 HERTEL RD, MILLSTADT, IL 62260</x:v>
      </x:c>
      <x:c r="B19" s="11" t="n">
        <x:v>38.32</x:v>
      </x:c>
      <x:c r="C19" s="11" t="n">
        <x:v>127.74</x:v>
      </x:c>
      <x:c r="D19" s="13" t="n">
        <x:f>ROUND(C19-B19,2)</x:f>
        <x:v>89.42</x:v>
      </x:c>
    </x:row>
    <x:row r="20" ht="46" customHeight="1">
      <x:c r="A20" s="14" t="str">
        <x:v>7628 HERTEL RD, MILLSTADT, IL 62260</x:v>
      </x:c>
      <x:c r="B20" s="15" t="n">
        <x:v>8.67</x:v>
      </x:c>
      <x:c r="C20" s="15" t="n">
        <x:v>28.91</x:v>
      </x:c>
      <x:c r="D20" s="13" t="n">
        <x:f>ROUND(C20-B20,2)</x:f>
        <x:v>20.24</x:v>
      </x:c>
    </x:row>
    <x:row r="21" ht="46" customHeight="1">
      <x:c r="A21" s="9" t="str">
        <x:v>7651 HERTEL RD, MILLSTADT, IL 62260</x:v>
      </x:c>
      <x:c r="B21" s="11" t="n">
        <x:v>85.26</x:v>
      </x:c>
      <x:c r="C21" s="11" t="n">
        <x:v>284.19</x:v>
      </x:c>
      <x:c r="D21" s="13" t="n">
        <x:f>ROUND(C21-B21,2)</x:f>
        <x:v>198.93</x:v>
      </x:c>
    </x:row>
    <x:row r="22" ht="46" customHeight="1">
      <x:c r="A22" s="14" t="str">
        <x:v>7664 HERTEL RD, MILLSTADT, IL 62260</x:v>
      </x:c>
      <x:c r="B22" s="15" t="n">
        <x:v>75.37</x:v>
      </x:c>
      <x:c r="C22" s="15" t="n">
        <x:v>251.22</x:v>
      </x:c>
      <x:c r="D22" s="13" t="n">
        <x:f>ROUND(C22-B22,2)</x:f>
        <x:v>175.85</x:v>
      </x:c>
    </x:row>
    <x:row r="23" ht="46" customHeight="1">
      <x:c r="A23" s="9" t="str">
        <x:v>7670 HERTEL RD, MILLSTADT, IL 62260</x:v>
      </x:c>
      <x:c r="B23" s="11" t="n">
        <x:v>36.53</x:v>
      </x:c>
      <x:c r="C23" s="11" t="n">
        <x:v>121.78</x:v>
      </x:c>
      <x:c r="D23" s="13" t="n">
        <x:f>ROUND(C23-B23,2)</x:f>
        <x:v>85.25</x:v>
      </x:c>
    </x:row>
    <x:row r="24" ht="46" customHeight="1">
      <x:c r="A24" s="14" t="str">
        <x:v>7671 HERTEL RD, MILLSTADT, IL 62260</x:v>
      </x:c>
      <x:c r="B24" s="15" t="n">
        <x:v>55.56</x:v>
      </x:c>
      <x:c r="C24" s="15" t="n">
        <x:v>185.21</x:v>
      </x:c>
      <x:c r="D24" s="13" t="n">
        <x:f>ROUND(C24-B24,2)</x:f>
        <x:v>129.65</x:v>
      </x:c>
    </x:row>
    <x:row r="25" ht="46" customHeight="1">
      <x:c r="A25" s="9" t="str">
        <x:v>7676 HERTEL RD, MILLSTADT, IL 62260</x:v>
      </x:c>
      <x:c r="B25" s="11" t="n">
        <x:v>92.81</x:v>
      </x:c>
      <x:c r="C25" s="11" t="n">
        <x:v>309.37</x:v>
      </x:c>
      <x:c r="D25" s="13" t="n">
        <x:f>ROUND(C25-B25,2)</x:f>
        <x:v>216.56</x:v>
      </x:c>
    </x:row>
    <x:row r="26" ht="46" customHeight="1">
      <x:c r="A26" s="14" t="str">
        <x:v>7677 HERTEL RD, MILLSTADT, IL 62260</x:v>
      </x:c>
      <x:c r="B26" s="15" t="n">
        <x:v>5.73</x:v>
      </x:c>
      <x:c r="C26" s="15" t="n">
        <x:v>19.11</x:v>
      </x:c>
      <x:c r="D26" s="13" t="n">
        <x:f>ROUND(C26-B26,2)</x:f>
        <x:v>13.38</x:v>
      </x:c>
    </x:row>
    <x:row r="27" ht="46" customHeight="1">
      <x:c r="A27" s="9" t="str">
        <x:v>7700 HERTEL RD, MILLSTADT, IL 62260
Parcel 07-30.0-300-013</x:v>
      </x:c>
      <x:c r="B27" s="11" t="n">
        <x:v>37.31</x:v>
      </x:c>
      <x:c r="C27" s="11" t="n">
        <x:v>124.38</x:v>
      </x:c>
      <x:c r="D27" s="13" t="n">
        <x:f>ROUND(C27-B27,2)</x:f>
        <x:v>87.07</x:v>
      </x:c>
    </x:row>
    <x:row r="28" ht="46" customHeight="1">
      <x:c r="A28" s="14" t="str">
        <x:v>7700 HERTEL RD, MILLSTADT, IL 62260
Parcel 07-30.0-300-040</x:v>
      </x:c>
      <x:c r="B28" s="15" t="n">
        <x:v>0.53</x:v>
      </x:c>
      <x:c r="C28" s="15" t="n">
        <x:v>1.76</x:v>
      </x:c>
      <x:c r="D28" s="13" t="n">
        <x:f>ROUND(C28-B28,2)</x:f>
        <x:v>1.23</x:v>
      </x:c>
    </x:row>
    <x:row r="29" ht="46" customHeight="1">
      <x:c r="A29" s="9" t="str">
        <x:v>7712 HERTEL RD, MILLSTADT, IL 62260</x:v>
      </x:c>
      <x:c r="B29" s="11" t="n">
        <x:v>24.13</x:v>
      </x:c>
      <x:c r="C29" s="11" t="n">
        <x:v>80.44</x:v>
      </x:c>
      <x:c r="D29" s="13" t="n">
        <x:f>ROUND(C29-B29,2)</x:f>
        <x:v>56.31</x:v>
      </x:c>
    </x:row>
    <x:row r="30" ht="46" customHeight="1">
      <x:c r="A30" s="14" t="str">
        <x:v>7718 HERTEL RD, MILLSTADT, IL 62260</x:v>
      </x:c>
      <x:c r="B30" s="15" t="n">
        <x:v>4.2</x:v>
      </x:c>
      <x:c r="C30" s="15" t="n">
        <x:v>14</x:v>
      </x:c>
      <x:c r="D30" s="13" t="n">
        <x:f>ROUND(C30-B30,2)</x:f>
        <x:v>9.8</x:v>
      </x:c>
    </x:row>
    <x:row r="31" ht="46" customHeight="1">
      <x:c r="A31" s="9" t="str">
        <x:v>7719 HERTEL RD, MILLSTADT, IL 62260</x:v>
      </x:c>
      <x:c r="B31" s="11" t="n">
        <x:v>4.18</x:v>
      </x:c>
      <x:c r="C31" s="11" t="n">
        <x:v>13.92</x:v>
      </x:c>
      <x:c r="D31" s="13" t="n">
        <x:f>ROUND(C31-B31,2)</x:f>
        <x:v>9.74</x:v>
      </x:c>
    </x:row>
    <x:row r="32" ht="46" customHeight="1">
      <x:c r="A32" s="14" t="str">
        <x:v>7731 HERTEL RD, MILLSTADT, IL 62260</x:v>
      </x:c>
      <x:c r="B32" s="15" t="n">
        <x:v>20.2</x:v>
      </x:c>
      <x:c r="C32" s="15" t="n">
        <x:v>67.32</x:v>
      </x:c>
      <x:c r="D32" s="13" t="n">
        <x:f>ROUND(C32-B32,2)</x:f>
        <x:v>47.12</x:v>
      </x:c>
    </x:row>
    <x:row r="33" ht="46" customHeight="1">
      <x:c r="A33" s="9" t="str">
        <x:v>7846 HERTEL RD, MILLSTADT, IL 62260</x:v>
      </x:c>
      <x:c r="B33" s="11" t="n">
        <x:v>0.19</x:v>
      </x:c>
      <x:c r="C33" s="11" t="n">
        <x:v>0.62</x:v>
      </x:c>
      <x:c r="D33" s="13" t="n">
        <x:f>ROUND(C33-B33,2)</x:f>
        <x:v>0.43</x:v>
      </x:c>
    </x:row>
    <x:row r="34" ht="46" customHeight="1">
      <x:c r="A34" s="14" t="str">
        <x:v>2558 OTTEN RD, MILLSTADT, IL 62260</x:v>
      </x:c>
      <x:c r="B34" s="15" t="n">
        <x:v>82.12</x:v>
      </x:c>
      <x:c r="C34" s="15" t="n">
        <x:v>273.73</x:v>
      </x:c>
      <x:c r="D34" s="13" t="n">
        <x:f>ROUND(C34-B34,2)</x:f>
        <x:v>191.61</x:v>
      </x:c>
    </x:row>
    <x:row r="35" ht="46" customHeight="1">
      <x:c r="A35" s="9" t="str">
        <x:v>2630 OTTEN RD, MILLSTADT, IL 62260</x:v>
      </x:c>
      <x:c r="B35" s="11" t="n">
        <x:v>112.49</x:v>
      </x:c>
      <x:c r="C35" s="11" t="n">
        <x:v>374.97</x:v>
      </x:c>
      <x:c r="D35" s="13" t="n">
        <x:f>ROUND(C35-B35,2)</x:f>
        <x:v>262.48</x:v>
      </x:c>
    </x:row>
    <x:row r="36" ht="46" customHeight="1">
      <x:c r="A36" s="14" t="str">
        <x:v>7671 WAGNER RD, MILLSTADT, IL 62260</x:v>
      </x:c>
      <x:c r="B36" s="15" t="n">
        <x:v>3.25</x:v>
      </x:c>
      <x:c r="C36" s="15" t="n">
        <x:v>10.82</x:v>
      </x:c>
      <x:c r="D36" s="13" t="n">
        <x:f>ROUND(C36-B36,2)</x:f>
        <x:v>7.57</x:v>
      </x:c>
    </x:row>
    <x:row r="37" ht="46" customHeight="1">
      <x:c r="A37" s="9" t="str">
        <x:v>7830 WAGNER RD, MILLSTADT, IL 62260
Parcel 07-30.0-100-022</x:v>
      </x:c>
      <x:c r="B37" s="11" t="n">
        <x:v>12.88</x:v>
      </x:c>
      <x:c r="C37" s="11" t="n">
        <x:v>42.94</x:v>
      </x:c>
      <x:c r="D37" s="13" t="n">
        <x:f>ROUND(C37-B37,2)</x:f>
        <x:v>30.06</x:v>
      </x:c>
    </x:row>
    <x:row r="38" ht="46" customHeight="1">
      <x:c r="A38" s="14" t="str">
        <x:v>7830 WAGNER RD, MILLSTADT, IL 62260
Parcel 07-30.0-300-010</x:v>
      </x:c>
      <x:c r="B38" s="15" t="n">
        <x:v>52.73</x:v>
      </x:c>
      <x:c r="C38" s="15" t="n">
        <x:v>175.77</x:v>
      </x:c>
      <x:c r="D38" s="13" t="n">
        <x:f>ROUND(C38-B38,2)</x:f>
        <x:v>123.04</x:v>
      </x:c>
    </x:row>
    <x:row r="39" ht="46" customHeight="1">
      <x:c r="A39" s="9" t="str">
        <x:v>7832 WAGNER RD, MILLSTADT, IL 62260</x:v>
      </x:c>
      <x:c r="B39" s="11" t="n">
        <x:v>5.49</x:v>
      </x:c>
      <x:c r="C39" s="11" t="n">
        <x:v>18.3</x:v>
      </x:c>
      <x:c r="D39" s="13" t="n">
        <x:f>ROUND(C39-B39,2)</x:f>
        <x:v>12.81</x:v>
      </x:c>
    </x:row>
    <x:row r="40" ht="46" customHeight="1">
      <x:c r="A40" s="14" t="str">
        <x:v>7834 WAGNER RD, MILLSTADT, IL 62260</x:v>
      </x:c>
      <x:c r="B40" s="15" t="n">
        <x:v>15.08</x:v>
      </x:c>
      <x:c r="C40" s="15" t="n">
        <x:v>50.26</x:v>
      </x:c>
      <x:c r="D40" s="13" t="n">
        <x:f>ROUND(C40-B40,2)</x:f>
        <x:v>35.18</x:v>
      </x:c>
    </x:row>
    <x:row r="41" ht="46" customHeight="1">
      <x:c r="A41" s="9" t="str">
        <x:v>7846 WAGNER RD, MILLSTADT, IL 62260</x:v>
      </x:c>
      <x:c r="B41" s="11" t="n">
        <x:v>54.52</x:v>
      </x:c>
      <x:c r="C41" s="11" t="n">
        <x:v>181.73</x:v>
      </x:c>
      <x:c r="D41" s="13" t="n">
        <x:f>ROUND(C41-B41,2)</x:f>
        <x:v>127.21</x:v>
      </x:c>
    </x:row>
    <x:row r="42" ht="46" customHeight="1">
      <x:c r="A42" s="14" t="str">
        <x:v>7850 WAGNER RD, MILLSTADT, IL 62260</x:v>
      </x:c>
      <x:c r="B42" s="15" t="n">
        <x:v>0.46</x:v>
      </x:c>
      <x:c r="C42" s="15" t="n">
        <x:v>1.54</x:v>
      </x:c>
      <x:c r="D42" s="13" t="n">
        <x:f>ROUND(C42-B42,2)</x:f>
        <x:v>1.08</x:v>
      </x:c>
    </x:row>
    <x:row r="43" ht="46" customHeight="1">
      <x:c r="A43" s="9" t="str">
        <x:v>7852 WAGNER RD, MILLSTADT, IL 62260</x:v>
      </x:c>
      <x:c r="B43" s="11" t="n">
        <x:v>0.53</x:v>
      </x:c>
      <x:c r="C43" s="11" t="n">
        <x:v>1.78</x:v>
      </x:c>
      <x:c r="D43" s="13" t="n">
        <x:f>ROUND(C43-B43,2)</x:f>
        <x:v>1.25</x:v>
      </x:c>
    </x:row>
  </x:sheetData>
  <x:sheetProtection algorithmName="SHA-512" hashValue="QlexMni8ClIZ8iX70WFjWT88eyl/3LVMQywNk1iwTeqyRjDxbrq87L8W5mJRPUwqZyx0M+V2CrwPfuZBqP/ntQ==" saltValue="mFCXSDH8+RPaeeHLGu1oUA==" spinCount="100000" sheet="1" objects="1" scenarios="1"/>
  <x:pageMargins left="0.7" right="0.7" top="0.75" bottom="0.75" header="0.3" footer="0.3"/>
</x:worksheet>
</file>