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657216fed42b8" /></Relationships>
</file>

<file path=xl/workbook.xml><?xml version="1.0" encoding="utf-8"?>
<x:workbook xmlns:x="http://schemas.openxmlformats.org/spreadsheetml/2006/main">
  <x:workbookProtection workbookAlgorithmName="SHA-512" workbookHashValue="gYP/fWcyuoroxvJH9FqzXRo3MiLgul7ITsTrqc+vE2nZUa1W1vird3m3+8Tvu81GJmv1bGA4SyHIftwpjvkNnw==" workbookSaltValue="jL6AW/ARXU3iTeor41h1hw==" workbookSpinCount="100000" lockStructure="1"/>
  <x:sheets>
    <x:sheet xmlns:r="http://schemas.openxmlformats.org/officeDocument/2006/relationships" name="Annual EMS taxes" sheetId="1" r:id="Rafa3b8c69cc6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3e4a241774b4f" /><Relationship Type="http://schemas.openxmlformats.org/officeDocument/2006/relationships/theme" Target="/xl/theme/theme1.xml" Id="Re74c3e57c36b41bc" /><Relationship Type="http://schemas.openxmlformats.org/officeDocument/2006/relationships/sharedStrings" Target="/xl/sharedStrings.xml" Id="Rae8b78eb7cb64c76" /><Relationship Type="http://schemas.openxmlformats.org/officeDocument/2006/relationships/worksheet" Target="/xl/worksheets/sheet1.xml" Id="Rafa3b8c69cc6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DUNN MEADE EAST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DOTTIE DR, BELLEVILLE, IL 62223</x:v>
      </x:c>
      <x:c r="B7" s="11" t="n">
        <x:v>51.14</x:v>
      </x:c>
      <x:c r="C7" s="11" t="n">
        <x:v>170.47</x:v>
      </x:c>
      <x:c r="D7" s="13" t="n">
        <x:f>ROUND(C7-B7,2)</x:f>
        <x:v>119.33</x:v>
      </x:c>
    </x:row>
    <x:row r="8" ht="46" customHeight="1">
      <x:c r="A8" s="14" t="str">
        <x:v>2 DOTTIE DR, BELLEVILLE, IL 62223</x:v>
      </x:c>
      <x:c r="B8" s="15" t="n">
        <x:v>45.26</x:v>
      </x:c>
      <x:c r="C8" s="15" t="n">
        <x:v>150.88</x:v>
      </x:c>
      <x:c r="D8" s="13" t="n">
        <x:f>ROUND(C8-B8,2)</x:f>
        <x:v>105.62</x:v>
      </x:c>
    </x:row>
    <x:row r="9" ht="46" customHeight="1">
      <x:c r="A9" s="9" t="str">
        <x:v>5 DOTTIE DR, BELLEVILLE, IL 62223</x:v>
      </x:c>
      <x:c r="B9" s="11" t="n">
        <x:v>48.38</x:v>
      </x:c>
      <x:c r="C9" s="11" t="n">
        <x:v>161.27</x:v>
      </x:c>
      <x:c r="D9" s="13" t="n">
        <x:f>ROUND(C9-B9,2)</x:f>
        <x:v>112.89</x:v>
      </x:c>
    </x:row>
    <x:row r="10" ht="46" customHeight="1">
      <x:c r="A10" s="14" t="str">
        <x:v>6 DOTTIE DR, BELLEVILLE, IL 62223</x:v>
      </x:c>
      <x:c r="B10" s="15" t="n">
        <x:v>49.54</x:v>
      </x:c>
      <x:c r="C10" s="15" t="n">
        <x:v>165.13</x:v>
      </x:c>
      <x:c r="D10" s="13" t="n">
        <x:f>ROUND(C10-B10,2)</x:f>
        <x:v>115.59</x:v>
      </x:c>
    </x:row>
    <x:row r="11" ht="46" customHeight="1">
      <x:c r="A11" s="9" t="str">
        <x:v>9 DOTTIE DR, BELLEVILLE, IL 62223</x:v>
      </x:c>
      <x:c r="B11" s="11" t="n">
        <x:v>44.08</x:v>
      </x:c>
      <x:c r="C11" s="11" t="n">
        <x:v>146.95</x:v>
      </x:c>
      <x:c r="D11" s="13" t="n">
        <x:f>ROUND(C11-B11,2)</x:f>
        <x:v>102.87</x:v>
      </x:c>
    </x:row>
    <x:row r="12" ht="46" customHeight="1">
      <x:c r="A12" s="14" t="str">
        <x:v>13 DOTTIE DR, BELLEVILLE, IL 62223</x:v>
      </x:c>
      <x:c r="B12" s="15" t="n">
        <x:v>43.72</x:v>
      </x:c>
      <x:c r="C12" s="15" t="n">
        <x:v>145.72</x:v>
      </x:c>
      <x:c r="D12" s="13" t="n">
        <x:f>ROUND(C12-B12,2)</x:f>
        <x:v>102</x:v>
      </x:c>
    </x:row>
    <x:row r="13" ht="46" customHeight="1">
      <x:c r="A13" s="9" t="str">
        <x:v>17 DOTTIE DR, BELLEVILLE, IL 62223</x:v>
      </x:c>
      <x:c r="B13" s="11" t="n">
        <x:v>47.63</x:v>
      </x:c>
      <x:c r="C13" s="11" t="n">
        <x:v>158.78</x:v>
      </x:c>
      <x:c r="D13" s="13" t="n">
        <x:f>ROUND(C13-B13,2)</x:f>
        <x:v>111.15</x:v>
      </x:c>
    </x:row>
    <x:row r="14" ht="46" customHeight="1">
      <x:c r="A14" s="14" t="str">
        <x:v>800-814 EILER RD, BELLEVILLE, IL 62223</x:v>
      </x:c>
      <x:c r="B14" s="15" t="n">
        <x:v>138.19</x:v>
      </x:c>
      <x:c r="C14" s="15" t="n">
        <x:v>460.62</x:v>
      </x:c>
      <x:c r="D14" s="13" t="n">
        <x:f>ROUND(C14-B14,2)</x:f>
        <x:v>322.43</x:v>
      </x:c>
    </x:row>
    <x:row r="15" ht="46" customHeight="1">
      <x:c r="A15" s="9" t="str">
        <x:v>21 VILLA DR, BELLEVILLE, IL 62223</x:v>
      </x:c>
      <x:c r="B15" s="11" t="n">
        <x:v>46.22</x:v>
      </x:c>
      <x:c r="C15" s="11" t="n">
        <x:v>154.05</x:v>
      </x:c>
      <x:c r="D15" s="13" t="n">
        <x:f>ROUND(C15-B15,2)</x:f>
        <x:v>107.83</x:v>
      </x:c>
    </x:row>
    <x:row r="16" ht="46" customHeight="1">
      <x:c r="A16" s="14" t="str">
        <x:v>25 VILLA DR, BELLEVILLE, IL 62223</x:v>
      </x:c>
      <x:c r="B16" s="15" t="n">
        <x:v>33.94</x:v>
      </x:c>
      <x:c r="C16" s="15" t="n">
        <x:v>113.15</x:v>
      </x:c>
      <x:c r="D16" s="13" t="n">
        <x:f>ROUND(C16-B16,2)</x:f>
        <x:v>79.21</x:v>
      </x:c>
    </x:row>
    <x:row r="17" ht="46" customHeight="1">
      <x:c r="A17" s="9" t="str">
        <x:v>29 VILLA DR, BELLEVILLE, IL 62223</x:v>
      </x:c>
      <x:c r="B17" s="11" t="n">
        <x:v>43.37</x:v>
      </x:c>
      <x:c r="C17" s="11" t="n">
        <x:v>144.57</x:v>
      </x:c>
      <x:c r="D17" s="13" t="n">
        <x:f>ROUND(C17-B17,2)</x:f>
        <x:v>101.2</x:v>
      </x:c>
    </x:row>
    <x:row r="18" ht="46" customHeight="1">
      <x:c r="A18" s="14" t="str">
        <x:v>33 VILLA DR, BELLEVILLE, IL 62223</x:v>
      </x:c>
      <x:c r="B18" s="15" t="n">
        <x:v>47.17</x:v>
      </x:c>
      <x:c r="C18" s="15" t="n">
        <x:v>157.22</x:v>
      </x:c>
      <x:c r="D18" s="13" t="n">
        <x:f>ROUND(C18-B18,2)</x:f>
        <x:v>110.05</x:v>
      </x:c>
    </x:row>
    <x:row r="19" ht="46" customHeight="1">
      <x:c r="A19" s="9" t="str">
        <x:v>37 VILLA DR, BELLEVILLE, IL 62223
Parcel 07-15.0-105-001</x:v>
      </x:c>
      <x:c r="B19" s="11" t="n">
        <x:v>50.78</x:v>
      </x:c>
      <x:c r="C19" s="11" t="n">
        <x:v>169.25</x:v>
      </x:c>
      <x:c r="D19" s="13" t="n">
        <x:f>ROUND(C19-B19,2)</x:f>
        <x:v>118.47</x:v>
      </x:c>
    </x:row>
    <x:row r="20" ht="46" customHeight="1">
      <x:c r="A20" s="14" t="str">
        <x:v>37 VILLA DR, BELLEVILLE, IL 62223
Parcel 07-15.0-105-004</x:v>
      </x:c>
      <x:c r="B20" s="15" t="n">
        <x:v>0.34</x:v>
      </x:c>
      <x:c r="C20" s="15" t="n">
        <x:v>1.14</x:v>
      </x:c>
      <x:c r="D20" s="13" t="n">
        <x:f>ROUND(C20-B20,2)</x:f>
        <x:v>0.8</x:v>
      </x:c>
    </x:row>
    <x:row r="21" ht="46" customHeight="1">
      <x:c r="A21" s="9" t="str">
        <x:v>39 VILLA DR, BELLEVILLE, IL 62223</x:v>
      </x:c>
      <x:c r="B21" s="11" t="n">
        <x:v>49.68</x:v>
      </x:c>
      <x:c r="C21" s="11" t="n">
        <x:v>165.59</x:v>
      </x:c>
      <x:c r="D21" s="13" t="n">
        <x:f>ROUND(C21-B21,2)</x:f>
        <x:v>115.91</x:v>
      </x:c>
    </x:row>
    <x:row r="22" ht="46" customHeight="1">
      <x:c r="A22" s="14" t="str">
        <x:v>45 VILLA DR, BELLEVILLE, IL 62223</x:v>
      </x:c>
      <x:c r="B22" s="15" t="n">
        <x:v>22.34</x:v>
      </x:c>
      <x:c r="C22" s="15" t="n">
        <x:v>74.48</x:v>
      </x:c>
      <x:c r="D22" s="13" t="n">
        <x:f>ROUND(C22-B22,2)</x:f>
        <x:v>52.14</x:v>
      </x:c>
    </x:row>
    <x:row r="23" ht="46" customHeight="1">
      <x:c r="A23" s="9" t="str">
        <x:v>113 VILLA DR, BELLEVILLE, IL 62223</x:v>
      </x:c>
      <x:c r="B23" s="11" t="n">
        <x:v>57.41</x:v>
      </x:c>
      <x:c r="C23" s="11" t="n">
        <x:v>191.36</x:v>
      </x:c>
      <x:c r="D23" s="13" t="n">
        <x:f>ROUND(C23-B23,2)</x:f>
        <x:v>133.95</x:v>
      </x:c>
    </x:row>
    <x:row r="24" ht="46" customHeight="1">
      <x:c r="A24" s="14" t="str">
        <x:v>115 VILLA DR, BELLEVILLE, IL 62223</x:v>
      </x:c>
      <x:c r="B24" s="15" t="n">
        <x:v>71.06</x:v>
      </x:c>
      <x:c r="C24" s="15" t="n">
        <x:v>236.88</x:v>
      </x:c>
      <x:c r="D24" s="13" t="n">
        <x:f>ROUND(C24-B24,2)</x:f>
        <x:v>165.82</x:v>
      </x:c>
    </x:row>
    <x:row r="25" ht="46" customHeight="1">
      <x:c r="A25" s="9" t="str">
        <x:v>119 VILLA DR, BELLEVILLE, IL 62223</x:v>
      </x:c>
      <x:c r="B25" s="11" t="n">
        <x:v>32.6</x:v>
      </x:c>
      <x:c r="C25" s="11" t="n">
        <x:v>108.65</x:v>
      </x:c>
      <x:c r="D25" s="13" t="n">
        <x:f>ROUND(C25-B25,2)</x:f>
        <x:v>76.05</x:v>
      </x:c>
    </x:row>
    <x:row r="26" ht="46" customHeight="1">
      <x:c r="A26" s="14" t="str">
        <x:v>121 VILLA DR, BELLEVILLE, IL 62223</x:v>
      </x:c>
      <x:c r="B26" s="15" t="n">
        <x:v>54.19</x:v>
      </x:c>
      <x:c r="C26" s="15" t="n">
        <x:v>180.64</x:v>
      </x:c>
      <x:c r="D26" s="13" t="n">
        <x:f>ROUND(C26-B26,2)</x:f>
        <x:v>126.45</x:v>
      </x:c>
    </x:row>
    <x:row r="27" ht="46" customHeight="1">
      <x:c r="A27" s="9" t="str">
        <x:v>123 VILLA DR, BELLEVILLE, IL 62223</x:v>
      </x:c>
      <x:c r="B27" s="11" t="n">
        <x:v>50.18</x:v>
      </x:c>
      <x:c r="C27" s="11" t="n">
        <x:v>167.27</x:v>
      </x:c>
      <x:c r="D27" s="13" t="n">
        <x:f>ROUND(C27-B27,2)</x:f>
        <x:v>117.09</x:v>
      </x:c>
    </x:row>
    <x:row r="28" ht="46" customHeight="1">
      <x:c r="A28" s="14" t="str">
        <x:v>127 VILLA DR, BELLEVILLE, IL 62223</x:v>
      </x:c>
      <x:c r="B28" s="15" t="n">
        <x:v>4.49</x:v>
      </x:c>
      <x:c r="C28" s="15" t="n">
        <x:v>14.96</x:v>
      </x:c>
      <x:c r="D28" s="13" t="n">
        <x:f>ROUND(C28-B28,2)</x:f>
        <x:v>10.47</x:v>
      </x:c>
    </x:row>
    <x:row r="29" ht="46" customHeight="1">
      <x:c r="A29" s="9" t="str">
        <x:v>203 VILLA DR, BELLEVILLE, IL 62223</x:v>
      </x:c>
      <x:c r="B29" s="11" t="n">
        <x:v>74.69</x:v>
      </x:c>
      <x:c r="C29" s="11" t="n">
        <x:v>248.96</x:v>
      </x:c>
      <x:c r="D29" s="13" t="n">
        <x:f>ROUND(C29-B29,2)</x:f>
        <x:v>174.27</x:v>
      </x:c>
    </x:row>
    <x:row r="30" ht="46" customHeight="1">
      <x:c r="A30" s="14" t="str">
        <x:v>235 VILLA DR, BELLEVILLE, IL 62223</x:v>
      </x:c>
      <x:c r="B30" s="15" t="n">
        <x:v>69.09</x:v>
      </x:c>
      <x:c r="C30" s="15" t="n">
        <x:v>230.31</x:v>
      </x:c>
      <x:c r="D30" s="13" t="n">
        <x:f>ROUND(C30-B30,2)</x:f>
        <x:v>161.22</x:v>
      </x:c>
    </x:row>
    <x:row r="31" ht="46" customHeight="1">
      <x:c r="A31" s="9" t="str">
        <x:v>241 VILLA DR, BELLEVILLE, IL 62223</x:v>
      </x:c>
      <x:c r="B31" s="11" t="n">
        <x:v>47.72</x:v>
      </x:c>
      <x:c r="C31" s="11" t="n">
        <x:v>159.06</x:v>
      </x:c>
      <x:c r="D31" s="13" t="n">
        <x:f>ROUND(C31-B31,2)</x:f>
        <x:v>111.34</x:v>
      </x:c>
    </x:row>
    <x:row r="32" ht="46" customHeight="1">
      <x:c r="A32" s="14" t="str">
        <x:v>245 VILLA DR, BELLEVILLE, IL 62223</x:v>
      </x:c>
      <x:c r="B32" s="15" t="n">
        <x:v>27.73</x:v>
      </x:c>
      <x:c r="C32" s="15" t="n">
        <x:v>92.43</x:v>
      </x:c>
      <x:c r="D32" s="13" t="n">
        <x:f>ROUND(C32-B32,2)</x:f>
        <x:v>64.7</x:v>
      </x:c>
    </x:row>
  </x:sheetData>
  <x:sheetProtection algorithmName="SHA-512" hashValue="gYP/fWcyuoroxvJH9FqzXRo3MiLgul7ITsTrqc+vE2nZUa1W1vird3m3+8Tvu81GJmv1bGA4SyHIftwpjvkNnw==" saltValue="jL6AW/ARXU3iTeor41h1hw==" spinCount="100000" sheet="1" objects="1" scenarios="1"/>
  <x:pageMargins left="0.7" right="0.7" top="0.75" bottom="0.75" header="0.3" footer="0.3"/>
</x:worksheet>
</file>