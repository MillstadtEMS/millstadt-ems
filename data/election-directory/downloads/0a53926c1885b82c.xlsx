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53bbf931e4fc4" /></Relationships>
</file>

<file path=xl/workbook.xml><?xml version="1.0" encoding="utf-8"?>
<x:workbook xmlns:x="http://schemas.openxmlformats.org/spreadsheetml/2006/main">
  <x:workbookProtection workbookAlgorithmName="SHA-512" workbookHashValue="rAjiv1KoKqZvl9Vl6Lig7GZ5Y+SJFc4FiqwoP4mzL6cadGouiHFV1Trw3hdDT8ExCfB3o3LydOy3nzNHi5/3WA==" workbookSaltValue="s2VlQaCTYVCoyJW6h0gLLw==" workbookSpinCount="100000" lockStructure="1"/>
  <x:sheets>
    <x:sheet xmlns:r="http://schemas.openxmlformats.org/officeDocument/2006/relationships" name="Annual EMS taxes" sheetId="1" r:id="R8c1408a92c64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99317c4b2412d" /><Relationship Type="http://schemas.openxmlformats.org/officeDocument/2006/relationships/theme" Target="/xl/theme/theme1.xml" Id="Rac5329b755bf4758" /><Relationship Type="http://schemas.openxmlformats.org/officeDocument/2006/relationships/sharedStrings" Target="/xl/sharedStrings.xml" Id="Rc7c7eeb21de64860" /><Relationship Type="http://schemas.openxmlformats.org/officeDocument/2006/relationships/worksheet" Target="/xl/worksheets/sheet1.xml" Id="R8c1408a92c64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PARKVIEW PLACE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414 PARKVIEW DR, MILLSTADT, IL 62260</x:v>
      </x:c>
      <x:c r="B7" s="11" t="n">
        <x:v>82.13</x:v>
      </x:c>
      <x:c r="C7" s="11" t="n">
        <x:v>273.78</x:v>
      </x:c>
      <x:c r="D7" s="13" t="n">
        <x:f>ROUND(C7-B7,2)</x:f>
        <x:v>191.65</x:v>
      </x:c>
    </x:row>
    <x:row r="8" ht="46" customHeight="1">
      <x:c r="A8" s="14" t="str">
        <x:v>405 W GOODING ST, MILLSTADT, IL 62260</x:v>
      </x:c>
      <x:c r="B8" s="15" t="n">
        <x:v>30.15</x:v>
      </x:c>
      <x:c r="C8" s="15" t="n">
        <x:v>100.49</x:v>
      </x:c>
      <x:c r="D8" s="13" t="n">
        <x:f>ROUND(C8-B8,2)</x:f>
        <x:v>70.34</x:v>
      </x:c>
    </x:row>
    <x:row r="9" ht="46" customHeight="1">
      <x:c r="A9" s="9" t="str">
        <x:v>407 W GOODING ST, MILLSTADT, IL 62260</x:v>
      </x:c>
      <x:c r="B9" s="11" t="n">
        <x:v>48.71</x:v>
      </x:c>
      <x:c r="C9" s="11" t="n">
        <x:v>162.38</x:v>
      </x:c>
      <x:c r="D9" s="13" t="n">
        <x:f>ROUND(C9-B9,2)</x:f>
        <x:v>113.67</x:v>
      </x:c>
    </x:row>
    <x:row r="10" ht="46" customHeight="1">
      <x:c r="A10" s="14" t="str">
        <x:v>408 W GOODING ST, MILLSTADT, IL 62260
Parcel 12-09.0-205-007</x:v>
      </x:c>
      <x:c r="B10" s="15" t="n">
        <x:v>5.44</x:v>
      </x:c>
      <x:c r="C10" s="15" t="n">
        <x:v>18.13</x:v>
      </x:c>
      <x:c r="D10" s="13" t="n">
        <x:f>ROUND(C10-B10,2)</x:f>
        <x:v>12.69</x:v>
      </x:c>
    </x:row>
    <x:row r="11" ht="46" customHeight="1">
      <x:c r="A11" s="9" t="str">
        <x:v>408 W GOODING ST, MILLSTADT, IL 62260
Parcel 12-09.0-205-008</x:v>
      </x:c>
      <x:c r="B11" s="11" t="n">
        <x:v>61.48</x:v>
      </x:c>
      <x:c r="C11" s="11" t="n">
        <x:v>204.95</x:v>
      </x:c>
      <x:c r="D11" s="13" t="n">
        <x:f>ROUND(C11-B11,2)</x:f>
        <x:v>143.47</x:v>
      </x:c>
    </x:row>
    <x:row r="12" ht="46" customHeight="1">
      <x:c r="A12" s="14" t="str">
        <x:v>409 W GOODING ST, MILLSTADT, IL 62260</x:v>
      </x:c>
      <x:c r="B12" s="15" t="n">
        <x:v>50.82</x:v>
      </x:c>
      <x:c r="C12" s="15" t="n">
        <x:v>169.39</x:v>
      </x:c>
      <x:c r="D12" s="13" t="n">
        <x:f>ROUND(C12-B12,2)</x:f>
        <x:v>118.57</x:v>
      </x:c>
    </x:row>
    <x:row r="13" ht="46" customHeight="1">
      <x:c r="A13" s="9" t="str">
        <x:v>410 W GOODING ST, MILLSTADT, IL 62260</x:v>
      </x:c>
      <x:c r="B13" s="11" t="n">
        <x:v>63.88</x:v>
      </x:c>
      <x:c r="C13" s="11" t="n">
        <x:v>212.92</x:v>
      </x:c>
      <x:c r="D13" s="13" t="n">
        <x:f>ROUND(C13-B13,2)</x:f>
        <x:v>149.04</x:v>
      </x:c>
    </x:row>
    <x:row r="14" ht="46" customHeight="1">
      <x:c r="A14" s="14" t="str">
        <x:v>500 W GOODING ST, MILLSTADT, IL 62260</x:v>
      </x:c>
      <x:c r="B14" s="15" t="n">
        <x:v>64.72</x:v>
      </x:c>
      <x:c r="C14" s="15" t="n">
        <x:v>215.75</x:v>
      </x:c>
      <x:c r="D14" s="13" t="n">
        <x:f>ROUND(C14-B14,2)</x:f>
        <x:v>151.03</x:v>
      </x:c>
    </x:row>
    <x:row r="15" ht="46" customHeight="1">
      <x:c r="A15" s="9" t="str">
        <x:v>503 W GOODING ST, MILLSTADT, IL 62260</x:v>
      </x:c>
      <x:c r="B15" s="11" t="n">
        <x:v>62.83</x:v>
      </x:c>
      <x:c r="C15" s="11" t="n">
        <x:v>209.44</x:v>
      </x:c>
      <x:c r="D15" s="13" t="n">
        <x:f>ROUND(C15-B15,2)</x:f>
        <x:v>146.61</x:v>
      </x:c>
    </x:row>
    <x:row r="16" ht="46" customHeight="1">
      <x:c r="A16" s="14" t="str">
        <x:v>506 W GOODING ST, MILLSTADT, IL 62260</x:v>
      </x:c>
      <x:c r="B16" s="15" t="n">
        <x:v>58.56</x:v>
      </x:c>
      <x:c r="C16" s="15" t="n">
        <x:v>195.19</x:v>
      </x:c>
      <x:c r="D16" s="13" t="n">
        <x:f>ROUND(C16-B16,2)</x:f>
        <x:v>136.63</x:v>
      </x:c>
    </x:row>
    <x:row r="17" ht="46" customHeight="1">
      <x:c r="A17" s="9" t="str">
        <x:v>507 W GOODING ST, MILLSTADT, IL 62260</x:v>
      </x:c>
      <x:c r="B17" s="11" t="n">
        <x:v>25.03</x:v>
      </x:c>
      <x:c r="C17" s="11" t="n">
        <x:v>83.43</x:v>
      </x:c>
      <x:c r="D17" s="13" t="n">
        <x:f>ROUND(C17-B17,2)</x:f>
        <x:v>58.4</x:v>
      </x:c>
    </x:row>
    <x:row r="18" ht="46" customHeight="1">
      <x:c r="A18" s="14" t="str">
        <x:v>514 W GOODING ST, MILLSTADT, IL 62260</x:v>
      </x:c>
      <x:c r="B18" s="15" t="n">
        <x:v>44.73</x:v>
      </x:c>
      <x:c r="C18" s="15" t="n">
        <x:v>149.1</x:v>
      </x:c>
      <x:c r="D18" s="13" t="n">
        <x:f>ROUND(C18-B18,2)</x:f>
        <x:v>104.37</x:v>
      </x:c>
    </x:row>
    <x:row r="19" ht="46" customHeight="1">
      <x:c r="A19" s="9" t="str">
        <x:v>515 W GOODING ST, MILLSTADT, IL 62260</x:v>
      </x:c>
      <x:c r="B19" s="11" t="n">
        <x:v>30.98</x:v>
      </x:c>
      <x:c r="C19" s="11" t="n">
        <x:v>103.27</x:v>
      </x:c>
      <x:c r="D19" s="13" t="n">
        <x:f>ROUND(C19-B19,2)</x:f>
        <x:v>72.29</x:v>
      </x:c>
    </x:row>
    <x:row r="20" ht="46" customHeight="1">
      <x:c r="A20" s="14" t="str">
        <x:v>520 W GOODING ST, MILLSTADT, IL 62260</x:v>
      </x:c>
      <x:c r="B20" s="15" t="n">
        <x:v>78.07</x:v>
      </x:c>
      <x:c r="C20" s="15" t="n">
        <x:v>260.23</x:v>
      </x:c>
      <x:c r="D20" s="13" t="n">
        <x:f>ROUND(C20-B20,2)</x:f>
        <x:v>182.16</x:v>
      </x:c>
    </x:row>
    <x:row r="21" ht="46" customHeight="1">
      <x:c r="A21" s="9" t="str">
        <x:v>526 W GOODING ST, MILLSTADT, IL 62260</x:v>
      </x:c>
      <x:c r="B21" s="11" t="n">
        <x:v>57.91</x:v>
      </x:c>
      <x:c r="C21" s="11" t="n">
        <x:v>193.04</x:v>
      </x:c>
      <x:c r="D21" s="13" t="n">
        <x:f>ROUND(C21-B21,2)</x:f>
        <x:v>135.13</x:v>
      </x:c>
    </x:row>
    <x:row r="22" ht="46" customHeight="1">
      <x:c r="A22" s="14" t="str">
        <x:v>529 W GOODING ST, MILLSTADT, IL 62260</x:v>
      </x:c>
      <x:c r="B22" s="15" t="n">
        <x:v>59.25</x:v>
      </x:c>
      <x:c r="C22" s="15" t="n">
        <x:v>197.51</x:v>
      </x:c>
      <x:c r="D22" s="13" t="n">
        <x:f>ROUND(C22-B22,2)</x:f>
        <x:v>138.26</x:v>
      </x:c>
    </x:row>
    <x:row r="23" ht="46" customHeight="1">
      <x:c r="A23" s="9" t="str">
        <x:v>534 W GOODING ST, MILLSTADT, IL 62260</x:v>
      </x:c>
      <x:c r="B23" s="11" t="n">
        <x:v>54.86</x:v>
      </x:c>
      <x:c r="C23" s="11" t="n">
        <x:v>182.85</x:v>
      </x:c>
      <x:c r="D23" s="13" t="n">
        <x:f>ROUND(C23-B23,2)</x:f>
        <x:v>127.99</x:v>
      </x:c>
    </x:row>
    <x:row r="24" ht="46" customHeight="1">
      <x:c r="A24" s="14" t="str">
        <x:v>535 W GOODING ST, MILLSTADT, IL 62260</x:v>
      </x:c>
      <x:c r="B24" s="15" t="n">
        <x:v>53.08</x:v>
      </x:c>
      <x:c r="C24" s="15" t="n">
        <x:v>176.93</x:v>
      </x:c>
      <x:c r="D24" s="13" t="n">
        <x:f>ROUND(C24-B24,2)</x:f>
        <x:v>123.85</x:v>
      </x:c>
    </x:row>
    <x:row r="25" ht="46" customHeight="1">
      <x:c r="A25" s="9" t="str">
        <x:v>539 W GOODING ST, MILLSTADT, IL 62260</x:v>
      </x:c>
      <x:c r="B25" s="11" t="n">
        <x:v>49.26</x:v>
      </x:c>
      <x:c r="C25" s="11" t="n">
        <x:v>164.18</x:v>
      </x:c>
      <x:c r="D25" s="13" t="n">
        <x:f>ROUND(C25-B25,2)</x:f>
        <x:v>114.92</x:v>
      </x:c>
    </x:row>
    <x:row r="26" ht="46" customHeight="1">
      <x:c r="A26" s="14" t="str">
        <x:v>401 W MILL ST, MILLSTADT, IL 62260
Parcel 12-09.0-205-014</x:v>
      </x:c>
      <x:c r="B26" s="15" t="n">
        <x:v>1.44</x:v>
      </x:c>
      <x:c r="C26" s="15" t="n">
        <x:v>4.81</x:v>
      </x:c>
      <x:c r="D26" s="13" t="n">
        <x:f>ROUND(C26-B26,2)</x:f>
        <x:v>3.37</x:v>
      </x:c>
    </x:row>
    <x:row r="27" ht="46" customHeight="1">
      <x:c r="A27" s="9" t="str">
        <x:v>406 W MILL ST, MILLSTADT, IL 62260</x:v>
      </x:c>
      <x:c r="B27" s="11" t="n">
        <x:v>46.95</x:v>
      </x:c>
      <x:c r="C27" s="11" t="n">
        <x:v>156.51</x:v>
      </x:c>
      <x:c r="D27" s="13" t="n">
        <x:f>ROUND(C27-B27,2)</x:f>
        <x:v>109.56</x:v>
      </x:c>
    </x:row>
    <x:row r="28" ht="46" customHeight="1">
      <x:c r="A28" s="14" t="str">
        <x:v>407 W MILL ST, MILLSTADT, IL 62260
Parcel 12-09.0-205-012</x:v>
      </x:c>
      <x:c r="B28" s="15" t="n">
        <x:v>33.99</x:v>
      </x:c>
      <x:c r="C28" s="15" t="n">
        <x:v>113.29</x:v>
      </x:c>
      <x:c r="D28" s="13" t="n">
        <x:f>ROUND(C28-B28,2)</x:f>
        <x:v>79.3</x:v>
      </x:c>
    </x:row>
    <x:row r="29" ht="46" customHeight="1">
      <x:c r="A29" s="9" t="str">
        <x:v>407 W MILL ST, MILLSTADT, IL 62260
Parcel 12-09.0-205-013</x:v>
      </x:c>
      <x:c r="B29" s="11" t="n">
        <x:v>1.44</x:v>
      </x:c>
      <x:c r="C29" s="11" t="n">
        <x:v>4.81</x:v>
      </x:c>
      <x:c r="D29" s="13" t="n">
        <x:f>ROUND(C29-B29,2)</x:f>
        <x:v>3.37</x:v>
      </x:c>
    </x:row>
    <x:row r="30" ht="46" customHeight="1">
      <x:c r="A30" s="14" t="str">
        <x:v>408 W MILL ST, MILLSTADT, IL 62260</x:v>
      </x:c>
      <x:c r="B30" s="15" t="n">
        <x:v>51.72</x:v>
      </x:c>
      <x:c r="C30" s="15" t="n">
        <x:v>172.39</x:v>
      </x:c>
      <x:c r="D30" s="13" t="n">
        <x:f>ROUND(C30-B30,2)</x:f>
        <x:v>120.67</x:v>
      </x:c>
    </x:row>
    <x:row r="31" ht="46" customHeight="1">
      <x:c r="A31" s="9" t="str">
        <x:v>409 W MILL ST, MILLSTADT, IL 62260</x:v>
      </x:c>
      <x:c r="B31" s="11" t="n">
        <x:v>34.71</x:v>
      </x:c>
      <x:c r="C31" s="11" t="n">
        <x:v>115.72</x:v>
      </x:c>
      <x:c r="D31" s="13" t="n">
        <x:f>ROUND(C31-B31,2)</x:f>
        <x:v>81.01</x:v>
      </x:c>
    </x:row>
    <x:row r="32" ht="46" customHeight="1">
      <x:c r="A32" s="14" t="str">
        <x:v>410 W MILL ST, MILLSTADT, IL 62260</x:v>
      </x:c>
      <x:c r="B32" s="15" t="n">
        <x:v>43.6</x:v>
      </x:c>
      <x:c r="C32" s="15" t="n">
        <x:v>145.34</x:v>
      </x:c>
      <x:c r="D32" s="13" t="n">
        <x:f>ROUND(C32-B32,2)</x:f>
        <x:v>101.74</x:v>
      </x:c>
    </x:row>
    <x:row r="33" ht="46" customHeight="1">
      <x:c r="A33" s="9" t="str">
        <x:v>411 W MILL ST, MILLSTADT, IL 62260</x:v>
      </x:c>
      <x:c r="B33" s="11" t="n">
        <x:v>26.05</x:v>
      </x:c>
      <x:c r="C33" s="11" t="n">
        <x:v>86.83</x:v>
      </x:c>
      <x:c r="D33" s="13" t="n">
        <x:f>ROUND(C33-B33,2)</x:f>
        <x:v>60.78</x:v>
      </x:c>
    </x:row>
    <x:row r="34" ht="46" customHeight="1">
      <x:c r="A34" s="14" t="str">
        <x:v>500 W MILL ST, MILLSTADT, IL 62260
Parcel 12-09.0-215-004</x:v>
      </x:c>
      <x:c r="B34" s="15" t="n">
        <x:v>1.45</x:v>
      </x:c>
      <x:c r="C34" s="15" t="n">
        <x:v>4.84</x:v>
      </x:c>
      <x:c r="D34" s="13" t="n">
        <x:f>ROUND(C34-B34,2)</x:f>
        <x:v>3.39</x:v>
      </x:c>
    </x:row>
    <x:row r="35" ht="46" customHeight="1">
      <x:c r="A35" s="9" t="str">
        <x:v>500 W MILL ST, MILLSTADT, IL 62260
Parcel 12-09.0-215-005</x:v>
      </x:c>
      <x:c r="B35" s="11" t="n">
        <x:v>48.23</x:v>
      </x:c>
      <x:c r="C35" s="11" t="n">
        <x:v>160.78</x:v>
      </x:c>
      <x:c r="D35" s="13" t="n">
        <x:f>ROUND(C35-B35,2)</x:f>
        <x:v>112.55</x:v>
      </x:c>
    </x:row>
    <x:row r="36" ht="46" customHeight="1">
      <x:c r="A36" s="14" t="str">
        <x:v>501 W MILL ST, MILLSTADT, IL 62260</x:v>
      </x:c>
      <x:c r="B36" s="15" t="n">
        <x:v>19.8</x:v>
      </x:c>
      <x:c r="C36" s="15" t="n">
        <x:v>66.01</x:v>
      </x:c>
      <x:c r="D36" s="13" t="n">
        <x:f>ROUND(C36-B36,2)</x:f>
        <x:v>46.21</x:v>
      </x:c>
    </x:row>
    <x:row r="37" ht="46" customHeight="1">
      <x:c r="A37" s="9" t="str">
        <x:v>503 W MILL ST, MILLSTADT, IL 62260</x:v>
      </x:c>
      <x:c r="B37" s="11" t="n">
        <x:v>39.52</x:v>
      </x:c>
      <x:c r="C37" s="11" t="n">
        <x:v>131.72</x:v>
      </x:c>
      <x:c r="D37" s="13" t="n">
        <x:f>ROUND(C37-B37,2)</x:f>
        <x:v>92.2</x:v>
      </x:c>
    </x:row>
    <x:row r="38" ht="46" customHeight="1">
      <x:c r="A38" s="14" t="str">
        <x:v>506 W MILL ST, MILLSTADT, IL 62260</x:v>
      </x:c>
      <x:c r="B38" s="15" t="n">
        <x:v>56.85</x:v>
      </x:c>
      <x:c r="C38" s="15" t="n">
        <x:v>189.51</x:v>
      </x:c>
      <x:c r="D38" s="13" t="n">
        <x:f>ROUND(C38-B38,2)</x:f>
        <x:v>132.66</x:v>
      </x:c>
    </x:row>
    <x:row r="39" ht="46" customHeight="1">
      <x:c r="A39" s="9" t="str">
        <x:v>507 W MILL ST, MILLSTADT, IL 62260</x:v>
      </x:c>
      <x:c r="B39" s="11" t="n">
        <x:v>54.85</x:v>
      </x:c>
      <x:c r="C39" s="11" t="n">
        <x:v>182.82</x:v>
      </x:c>
      <x:c r="D39" s="13" t="n">
        <x:f>ROUND(C39-B39,2)</x:f>
        <x:v>127.97</x:v>
      </x:c>
    </x:row>
    <x:row r="40" ht="46" customHeight="1">
      <x:c r="A40" s="14" t="str">
        <x:v>509 W MILL ST, MILLSTADT, IL 62260</x:v>
      </x:c>
      <x:c r="B40" s="15" t="n">
        <x:v>46.62</x:v>
      </x:c>
      <x:c r="C40" s="15" t="n">
        <x:v>155.39</x:v>
      </x:c>
      <x:c r="D40" s="13" t="n">
        <x:f>ROUND(C40-B40,2)</x:f>
        <x:v>108.77</x:v>
      </x:c>
    </x:row>
    <x:row r="41" ht="46" customHeight="1">
      <x:c r="A41" s="9" t="str">
        <x:v>512 W MILL ST, MILLSTADT, IL 62260</x:v>
      </x:c>
      <x:c r="B41" s="11" t="n">
        <x:v>59.7</x:v>
      </x:c>
      <x:c r="C41" s="11" t="n">
        <x:v>198.99</x:v>
      </x:c>
      <x:c r="D41" s="13" t="n">
        <x:f>ROUND(C41-B41,2)</x:f>
        <x:v>139.29</x:v>
      </x:c>
    </x:row>
    <x:row r="42" ht="46" customHeight="1">
      <x:c r="A42" s="14" t="str">
        <x:v>515 W MILL ST, MILLSTADT, IL 62260</x:v>
      </x:c>
      <x:c r="B42" s="15" t="n">
        <x:v>13.75</x:v>
      </x:c>
      <x:c r="C42" s="15" t="n">
        <x:v>45.83</x:v>
      </x:c>
      <x:c r="D42" s="13" t="n">
        <x:f>ROUND(C42-B42,2)</x:f>
        <x:v>32.08</x:v>
      </x:c>
    </x:row>
    <x:row r="43" ht="46" customHeight="1">
      <x:c r="A43" s="9" t="str">
        <x:v>402 W PARKVIEW DR, MILLSTADT, IL 62260</x:v>
      </x:c>
      <x:c r="B43" s="11" t="n">
        <x:v>41.85</x:v>
      </x:c>
      <x:c r="C43" s="11" t="n">
        <x:v>139.51</x:v>
      </x:c>
      <x:c r="D43" s="13" t="n">
        <x:f>ROUND(C43-B43,2)</x:f>
        <x:v>97.66</x:v>
      </x:c>
    </x:row>
    <x:row r="44" ht="46" customHeight="1">
      <x:c r="A44" s="14" t="str">
        <x:v>403 W PARKVIEW DR, MILLSTADT, IL 62260</x:v>
      </x:c>
      <x:c r="B44" s="15" t="n">
        <x:v>57.74</x:v>
      </x:c>
      <x:c r="C44" s="15" t="n">
        <x:v>192.47</x:v>
      </x:c>
      <x:c r="D44" s="13" t="n">
        <x:f>ROUND(C44-B44,2)</x:f>
        <x:v>134.73</x:v>
      </x:c>
    </x:row>
    <x:row r="45" ht="46" customHeight="1">
      <x:c r="A45" s="9" t="str">
        <x:v>408 W PARKVIEW DR, MILLSTADT, IL 62260</x:v>
      </x:c>
      <x:c r="B45" s="11" t="n">
        <x:v>40.08</x:v>
      </x:c>
      <x:c r="C45" s="11" t="n">
        <x:v>133.58</x:v>
      </x:c>
      <x:c r="D45" s="13" t="n">
        <x:f>ROUND(C45-B45,2)</x:f>
        <x:v>93.5</x:v>
      </x:c>
    </x:row>
    <x:row r="46" ht="46" customHeight="1">
      <x:c r="A46" s="14" t="str">
        <x:v>415 W PARKVIEW DR, MILLSTADT, IL 62260
Parcel 12-09.0-202-001</x:v>
      </x:c>
      <x:c r="B46" s="15" t="n">
        <x:v>86.06</x:v>
      </x:c>
      <x:c r="C46" s="15" t="n">
        <x:v>286.88</x:v>
      </x:c>
      <x:c r="D46" s="13" t="n">
        <x:f>ROUND(C46-B46,2)</x:f>
        <x:v>200.82</x:v>
      </x:c>
    </x:row>
    <x:row r="47" ht="46" customHeight="1">
      <x:c r="A47" s="9" t="str">
        <x:v>415 W PARKVIEW DR, MILLSTADT, IL 62260
Parcel 12-09.0-202-002</x:v>
      </x:c>
      <x:c r="B47" s="11" t="n">
        <x:v>3.85</x:v>
      </x:c>
      <x:c r="C47" s="11" t="n">
        <x:v>12.84</x:v>
      </x:c>
      <x:c r="D47" s="13" t="n">
        <x:f>ROUND(C47-B47,2)</x:f>
        <x:v>8.99</x:v>
      </x:c>
    </x:row>
    <x:row r="48" ht="46" customHeight="1">
      <x:c r="A48" s="14" t="str">
        <x:v>501 W PARKVIEW DR, MILLSTADT, IL 62260</x:v>
      </x:c>
      <x:c r="B48" s="15" t="n">
        <x:v>53.61</x:v>
      </x:c>
      <x:c r="C48" s="15" t="n">
        <x:v>178.7</x:v>
      </x:c>
      <x:c r="D48" s="13" t="n">
        <x:f>ROUND(C48-B48,2)</x:f>
        <x:v>125.09</x:v>
      </x:c>
    </x:row>
    <x:row r="49" ht="46" customHeight="1">
      <x:c r="A49" s="9" t="str">
        <x:v>502 W PARKVIEW DR, MILLSTADT, IL 62260</x:v>
      </x:c>
      <x:c r="B49" s="11" t="n">
        <x:v>45.64</x:v>
      </x:c>
      <x:c r="C49" s="11" t="n">
        <x:v>152.14</x:v>
      </x:c>
      <x:c r="D49" s="13" t="n">
        <x:f>ROUND(C49-B49,2)</x:f>
        <x:v>106.5</x:v>
      </x:c>
    </x:row>
    <x:row r="50" ht="46" customHeight="1">
      <x:c r="A50" s="14" t="str">
        <x:v>506 W PARKVIEW DR, MILLSTADT, IL 62260</x:v>
      </x:c>
      <x:c r="B50" s="15" t="n">
        <x:v>51.97</x:v>
      </x:c>
      <x:c r="C50" s="15" t="n">
        <x:v>173.24</x:v>
      </x:c>
      <x:c r="D50" s="13" t="n">
        <x:f>ROUND(C50-B50,2)</x:f>
        <x:v>121.27</x:v>
      </x:c>
    </x:row>
    <x:row r="51" ht="46" customHeight="1">
      <x:c r="A51" s="9" t="str">
        <x:v>509 W PARKVIEW DR, MILLSTADT, IL 62260</x:v>
      </x:c>
      <x:c r="B51" s="11" t="n">
        <x:v>67.01</x:v>
      </x:c>
      <x:c r="C51" s="11" t="n">
        <x:v>223.35</x:v>
      </x:c>
      <x:c r="D51" s="13" t="n">
        <x:f>ROUND(C51-B51,2)</x:f>
        <x:v>156.34</x:v>
      </x:c>
    </x:row>
    <x:row r="52" ht="46" customHeight="1">
      <x:c r="A52" s="14" t="str">
        <x:v>514 W PARKVIEW DR, MILLSTADT, IL 62260</x:v>
      </x:c>
      <x:c r="B52" s="15" t="n">
        <x:v>47.62</x:v>
      </x:c>
      <x:c r="C52" s="15" t="n">
        <x:v>158.75</x:v>
      </x:c>
      <x:c r="D52" s="13" t="n">
        <x:f>ROUND(C52-B52,2)</x:f>
        <x:v>111.13</x:v>
      </x:c>
    </x:row>
    <x:row r="53" ht="46" customHeight="1">
      <x:c r="A53" s="9" t="str">
        <x:v>517 W PARKVIEW DR, MILLSTADT, IL 62260</x:v>
      </x:c>
      <x:c r="B53" s="11" t="n">
        <x:v>68.45</x:v>
      </x:c>
      <x:c r="C53" s="11" t="n">
        <x:v>228.17</x:v>
      </x:c>
      <x:c r="D53" s="13" t="n">
        <x:f>ROUND(C53-B53,2)</x:f>
        <x:v>159.72</x:v>
      </x:c>
    </x:row>
    <x:row r="54" ht="46" customHeight="1">
      <x:c r="A54" s="14" t="str">
        <x:v>520 W PARKVIEW DR, MILLSTADT, IL 62260</x:v>
      </x:c>
      <x:c r="B54" s="15" t="n">
        <x:v>69.94</x:v>
      </x:c>
      <x:c r="C54" s="15" t="n">
        <x:v>233.13</x:v>
      </x:c>
      <x:c r="D54" s="13" t="n">
        <x:f>ROUND(C54-B54,2)</x:f>
        <x:v>163.19</x:v>
      </x:c>
    </x:row>
    <x:row r="55" ht="46" customHeight="1">
      <x:c r="A55" s="9" t="str">
        <x:v>523 W PARKVIEW DR, MILLSTADT, IL 62260</x:v>
      </x:c>
      <x:c r="B55" s="11" t="n">
        <x:v>60.81</x:v>
      </x:c>
      <x:c r="C55" s="11" t="n">
        <x:v>202.7</x:v>
      </x:c>
      <x:c r="D55" s="13" t="n">
        <x:f>ROUND(C55-B55,2)</x:f>
        <x:v>141.89</x:v>
      </x:c>
    </x:row>
    <x:row r="56" ht="46" customHeight="1">
      <x:c r="A56" s="14" t="str">
        <x:v>526 W PARKVIEW DR, MILLSTADT, IL 62260</x:v>
      </x:c>
      <x:c r="B56" s="15" t="n">
        <x:v>52.38</x:v>
      </x:c>
      <x:c r="C56" s="15" t="n">
        <x:v>174.61</x:v>
      </x:c>
      <x:c r="D56" s="13" t="n">
        <x:f>ROUND(C56-B56,2)</x:f>
        <x:v>122.23</x:v>
      </x:c>
    </x:row>
    <x:row r="57" ht="46" customHeight="1">
      <x:c r="A57" s="9" t="str">
        <x:v>530 W PARKVIEW DR, MILLSTADT, IL 62260</x:v>
      </x:c>
      <x:c r="B57" s="11" t="n">
        <x:v>68.92</x:v>
      </x:c>
      <x:c r="C57" s="11" t="n">
        <x:v>229.75</x:v>
      </x:c>
      <x:c r="D57" s="13" t="n">
        <x:f>ROUND(C57-B57,2)</x:f>
        <x:v>160.83</x:v>
      </x:c>
    </x:row>
    <x:row r="58" ht="46" customHeight="1">
      <x:c r="A58" s="14" t="str">
        <x:v>531 W PARKVIEW DR, MILLSTADT, IL 62260</x:v>
      </x:c>
      <x:c r="B58" s="15" t="n">
        <x:v>73.69</x:v>
      </x:c>
      <x:c r="C58" s="15" t="n">
        <x:v>245.63</x:v>
      </x:c>
      <x:c r="D58" s="13" t="n">
        <x:f>ROUND(C58-B58,2)</x:f>
        <x:v>171.94</x:v>
      </x:c>
    </x:row>
    <x:row r="59" ht="46" customHeight="1">
      <x:c r="A59" s="9" t="str">
        <x:v>539 W PARKVIEW DR, MILLSTADT, IL 62260</x:v>
      </x:c>
      <x:c r="B59" s="11" t="n">
        <x:v>53.9</x:v>
      </x:c>
      <x:c r="C59" s="11" t="n">
        <x:v>179.67</x:v>
      </x:c>
      <x:c r="D59" s="13" t="n">
        <x:f>ROUND(C59-B59,2)</x:f>
        <x:v>125.77</x:v>
      </x:c>
    </x:row>
    <x:row r="60" ht="46" customHeight="1">
      <x:c r="A60" s="14" t="str">
        <x:v>540 W PARKVIEW DR, MILLSTADT, IL 62260</x:v>
      </x:c>
      <x:c r="B60" s="15" t="n">
        <x:v>46.48</x:v>
      </x:c>
      <x:c r="C60" s="15" t="n">
        <x:v>154.92</x:v>
      </x:c>
      <x:c r="D60" s="13" t="n">
        <x:f>ROUND(C60-B60,2)</x:f>
        <x:v>108.44</x:v>
      </x:c>
    </x:row>
    <x:row r="61" ht="46" customHeight="1">
      <x:c r="A61" s="9" t="str">
        <x:v>544 W PARKVIEW DR, MILLSTADT, IL 62260</x:v>
      </x:c>
      <x:c r="B61" s="11" t="n">
        <x:v>63.86</x:v>
      </x:c>
      <x:c r="C61" s="11" t="n">
        <x:v>212.88</x:v>
      </x:c>
      <x:c r="D61" s="13" t="n">
        <x:f>ROUND(C61-B61,2)</x:f>
        <x:v>149.02</x:v>
      </x:c>
    </x:row>
    <x:row r="62" ht="46" customHeight="1">
      <x:c r="A62" s="14" t="str">
        <x:v>547 W PARKVIEW DR, MILLSTADT, IL 62260</x:v>
      </x:c>
      <x:c r="B62" s="15" t="n">
        <x:v>73.96</x:v>
      </x:c>
      <x:c r="C62" s="15" t="n">
        <x:v>246.55</x:v>
      </x:c>
      <x:c r="D62" s="13" t="n">
        <x:f>ROUND(C62-B62,2)</x:f>
        <x:v>172.59</x:v>
      </x:c>
    </x:row>
    <x:row r="63" ht="46" customHeight="1">
      <x:c r="A63" s="9" t="str">
        <x:v>555 W PARKVIEW DR, MILLSTADT, IL 62260</x:v>
      </x:c>
      <x:c r="B63" s="11" t="n">
        <x:v>40.71</x:v>
      </x:c>
      <x:c r="C63" s="11" t="n">
        <x:v>135.71</x:v>
      </x:c>
      <x:c r="D63" s="13" t="n">
        <x:f>ROUND(C63-B63,2)</x:f>
        <x:v>95</x:v>
      </x:c>
    </x:row>
  </x:sheetData>
  <x:sheetProtection algorithmName="SHA-512" hashValue="rAjiv1KoKqZvl9Vl6Lig7GZ5Y+SJFc4FiqwoP4mzL6cadGouiHFV1Trw3hdDT8ExCfB3o3LydOy3nzNHi5/3WA==" saltValue="s2VlQaCTYVCoyJW6h0gLLw==" spinCount="100000" sheet="1" objects="1" scenarios="1"/>
  <x:pageMargins left="0.7" right="0.7" top="0.75" bottom="0.75" header="0.3" footer="0.3"/>
</x:worksheet>
</file>