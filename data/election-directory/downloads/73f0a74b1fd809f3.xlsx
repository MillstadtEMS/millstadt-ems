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613618d1441e4" /></Relationships>
</file>

<file path=xl/workbook.xml><?xml version="1.0" encoding="utf-8"?>
<x:workbook xmlns:x="http://schemas.openxmlformats.org/spreadsheetml/2006/main">
  <x:workbookProtection workbookAlgorithmName="SHA-512" workbookHashValue="zZci0pgT1tyyBQY20I6cGSq15EAAHJ2K7lhnBfiYIh0HpVfQuU4BdI5cDRDIWpt55E0R4Jv+S4OR6EtIOxB5Uw==" workbookSaltValue="8vx7W3KFgE80rvlnC96A6w==" workbookSpinCount="100000" lockStructure="1"/>
  <x:sheets>
    <x:sheet xmlns:r="http://schemas.openxmlformats.org/officeDocument/2006/relationships" name="Annual EMS taxes" sheetId="1" r:id="Rad2e29672c87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f3bc142864470" /><Relationship Type="http://schemas.openxmlformats.org/officeDocument/2006/relationships/theme" Target="/xl/theme/theme1.xml" Id="Re23adb1737d74bc8" /><Relationship Type="http://schemas.openxmlformats.org/officeDocument/2006/relationships/sharedStrings" Target="/xl/sharedStrings.xml" Id="R5f26e203acc04bc0" /><Relationship Type="http://schemas.openxmlformats.org/officeDocument/2006/relationships/worksheet" Target="/xl/worksheets/sheet1.xml" Id="Rad2e29672c8744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FRIERDICH HENRY J AP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29 CEDAR DR, MILLSTADT, IL 62260</x:v>
      </x:c>
      <x:c r="B7" s="11" t="n">
        <x:v>100.67</x:v>
      </x:c>
      <x:c r="C7" s="11" t="n">
        <x:v>335.58</x:v>
      </x:c>
      <x:c r="D7" s="13" t="n">
        <x:f>ROUND(C7-B7,2)</x:f>
        <x:v>234.91</x:v>
      </x:c>
    </x:row>
    <x:row r="8" ht="46" customHeight="1">
      <x:c r="A8" s="14" t="str">
        <x:v>15 CEDAR ST, MILLSTADT, IL 62260</x:v>
      </x:c>
      <x:c r="B8" s="15" t="n">
        <x:v>69.85</x:v>
      </x:c>
      <x:c r="C8" s="15" t="n">
        <x:v>232.82</x:v>
      </x:c>
      <x:c r="D8" s="13" t="n">
        <x:f>ROUND(C8-B8,2)</x:f>
        <x:v>162.97</x:v>
      </x:c>
    </x:row>
    <x:row r="9" ht="46" customHeight="1">
      <x:c r="A9" s="9" t="str">
        <x:v>17 CEDAR ST, MILLSTADT, IL 62260</x:v>
      </x:c>
      <x:c r="B9" s="11" t="n">
        <x:v>76.42</x:v>
      </x:c>
      <x:c r="C9" s="11" t="n">
        <x:v>254.73</x:v>
      </x:c>
      <x:c r="D9" s="13" t="n">
        <x:f>ROUND(C9-B9,2)</x:f>
        <x:v>178.31</x:v>
      </x:c>
    </x:row>
    <x:row r="10" ht="46" customHeight="1">
      <x:c r="A10" s="14" t="str">
        <x:v>120 CORONATION DR, MILLSTADT, IL 62260</x:v>
      </x:c>
      <x:c r="B10" s="15" t="n">
        <x:v>83.57</x:v>
      </x:c>
      <x:c r="C10" s="15" t="n">
        <x:v>278.56</x:v>
      </x:c>
      <x:c r="D10" s="13" t="n">
        <x:f>ROUND(C10-B10,2)</x:f>
        <x:v>194.99</x:v>
      </x:c>
    </x:row>
    <x:row r="11" ht="46" customHeight="1">
      <x:c r="A11" s="9" t="str">
        <x:v>325 N POLK ST, MILLSTADT, IL 62260 (CEMETERY)
Parcel 12-09.0-100-008</x:v>
      </x:c>
      <x:c r="B11" s="11" t="n">
        <x:v>0</x:v>
      </x:c>
      <x:c r="C11" s="11" t="n">
        <x:v>0</x:v>
      </x:c>
      <x:c r="D11" s="13" t="n">
        <x:f>ROUND(C11-B11,2)</x:f>
        <x:v>0</x:v>
      </x:c>
    </x:row>
    <x:row r="12" ht="46" customHeight="1">
      <x:c r="A12" s="14" t="str">
        <x:v>1 S ILLINOIS ST, MILLSTADT, IL 62260</x:v>
      </x:c>
      <x:c r="B12" s="15" t="n">
        <x:v>492.64</x:v>
      </x:c>
      <x:c r="C12" s="15" t="n">
        <x:v>1642.12</x:v>
      </x:c>
      <x:c r="D12" s="13" t="n">
        <x:f>ROUND(C12-B12,2)</x:f>
        <x:v>1149.48</x:v>
      </x:c>
    </x:row>
    <x:row r="13" ht="46" customHeight="1">
      <x:c r="A13" s="9" t="str">
        <x:v>101 S ILLINOIS ST, MILLSTADT, IL 62260</x:v>
      </x:c>
      <x:c r="B13" s="11" t="n">
        <x:v>59.91</x:v>
      </x:c>
      <x:c r="C13" s="11" t="n">
        <x:v>199.7</x:v>
      </x:c>
      <x:c r="D13" s="13" t="n">
        <x:f>ROUND(C13-B13,2)</x:f>
        <x:v>139.79</x:v>
      </x:c>
    </x:row>
    <x:row r="14" ht="46" customHeight="1">
      <x:c r="A14" s="14" t="str">
        <x:v>115 S ILLINOIS ST, MILLSTADT, IL 62260
Parcel 12-09.0-300-084</x:v>
      </x:c>
      <x:c r="B14" s="15" t="n">
        <x:v>42.17</x:v>
      </x:c>
      <x:c r="C14" s="15" t="n">
        <x:v>140.55</x:v>
      </x:c>
      <x:c r="D14" s="13" t="n">
        <x:f>ROUND(C14-B14,2)</x:f>
        <x:v>98.38</x:v>
      </x:c>
    </x:row>
    <x:row r="15" ht="46" customHeight="1">
      <x:c r="A15" s="9" t="str">
        <x:v>115 S ILLINOIS ST, MILLSTADT, IL 62260
Parcel 12-09.0-300-085</x:v>
      </x:c>
      <x:c r="B15" s="11" t="n">
        <x:v>89.35</x:v>
      </x:c>
      <x:c r="C15" s="11" t="n">
        <x:v>297.85</x:v>
      </x:c>
      <x:c r="D15" s="13" t="n">
        <x:f>ROUND(C15-B15,2)</x:f>
        <x:v>208.5</x:v>
      </x:c>
    </x:row>
    <x:row r="16" ht="46" customHeight="1">
      <x:c r="A16" s="14" t="str">
        <x:v>601 W WASHINGTON ST, MILLSTADT, IL 62260</x:v>
      </x:c>
      <x:c r="B16" s="15" t="n">
        <x:v>299.19</x:v>
      </x:c>
      <x:c r="C16" s="15" t="n">
        <x:v>997.29</x:v>
      </x:c>
      <x:c r="D16" s="13" t="n">
        <x:f>ROUND(C16-B16,2)</x:f>
        <x:v>698.1</x:v>
      </x:c>
    </x:row>
    <x:row r="17" ht="46" customHeight="1">
      <x:c r="A17" s="9" t="str">
        <x:v>705 W WASHINGTON ST, MILLSTADT, IL 62260</x:v>
      </x:c>
      <x:c r="B17" s="11" t="n">
        <x:v>765.27</x:v>
      </x:c>
      <x:c r="C17" s="11" t="n">
        <x:v>2550.9</x:v>
      </x:c>
      <x:c r="D17" s="13" t="n">
        <x:f>ROUND(C17-B17,2)</x:f>
        <x:v>1785.63</x:v>
      </x:c>
    </x:row>
    <x:row r="18" ht="46" customHeight="1">
      <x:c r="A18" s="14" t="str">
        <x:v>806 W WASHINGTON ST, MILLSTADT, IL 62260</x:v>
      </x:c>
      <x:c r="B18" s="15" t="n">
        <x:v>177.04</x:v>
      </x:c>
      <x:c r="C18" s="15" t="n">
        <x:v>590.13</x:v>
      </x:c>
      <x:c r="D18" s="13" t="n">
        <x:f>ROUND(C18-B18,2)</x:f>
        <x:v>413.09</x:v>
      </x:c>
    </x:row>
    <x:row r="19" ht="46" customHeight="1">
      <x:c r="A19" s="9" t="str">
        <x:v>902 W WASHINGTON ST, MILLSTADT, IL 62260</x:v>
      </x:c>
      <x:c r="B19" s="11" t="n">
        <x:v>116.89</x:v>
      </x:c>
      <x:c r="C19" s="11" t="n">
        <x:v>389.63</x:v>
      </x:c>
      <x:c r="D19" s="13" t="n">
        <x:f>ROUND(C19-B19,2)</x:f>
        <x:v>272.74</x:v>
      </x:c>
    </x:row>
    <x:row r="20" ht="46" customHeight="1">
      <x:c r="A20" s="14" t="str">
        <x:v>1134 W WASHINGTON ST, MILLSTADT, IL 62260</x:v>
      </x:c>
      <x:c r="B20" s="15" t="n">
        <x:v>54.35</x:v>
      </x:c>
      <x:c r="C20" s="15" t="n">
        <x:v>181.18</x:v>
      </x:c>
      <x:c r="D20" s="13" t="n">
        <x:f>ROUND(C20-B20,2)</x:f>
        <x:v>126.83</x:v>
      </x:c>
    </x:row>
  </x:sheetData>
  <x:sheetProtection algorithmName="SHA-512" hashValue="zZci0pgT1tyyBQY20I6cGSq15EAAHJ2K7lhnBfiYIh0HpVfQuU4BdI5cDRDIWpt55E0R4Jv+S4OR6EtIOxB5Uw==" saltValue="8vx7W3KFgE80rvlnC96A6w==" spinCount="100000" sheet="1" objects="1" scenarios="1"/>
  <x:pageMargins left="0.7" right="0.7" top="0.75" bottom="0.75" header="0.3" footer="0.3"/>
</x:worksheet>
</file>