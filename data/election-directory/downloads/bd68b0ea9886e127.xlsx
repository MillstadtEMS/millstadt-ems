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80d35bbea4550" /></Relationships>
</file>

<file path=xl/workbook.xml><?xml version="1.0" encoding="utf-8"?>
<x:workbook xmlns:x="http://schemas.openxmlformats.org/spreadsheetml/2006/main">
  <x:workbookProtection workbookAlgorithmName="SHA-512" workbookHashValue="/VzFXYTJS62CUDUxFdG2QBKfhft7wuISRBy0B99DdkWeAUnaKwkji2+UWZhNPtLWQmNNTSst2x5BCpInSldaYg==" workbookSaltValue="faETEavk8/6w1F9WXkU3VA==" workbookSpinCount="100000" lockStructure="1"/>
  <x:sheets>
    <x:sheet xmlns:r="http://schemas.openxmlformats.org/officeDocument/2006/relationships" name="Annual EMS taxes" sheetId="1" r:id="Re1daa2732793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ee01681aae4f54" /><Relationship Type="http://schemas.openxmlformats.org/officeDocument/2006/relationships/theme" Target="/xl/theme/theme1.xml" Id="R9a6e5a277cc94977" /><Relationship Type="http://schemas.openxmlformats.org/officeDocument/2006/relationships/sharedStrings" Target="/xl/sharedStrings.xml" Id="Rceb43f7d15214d96" /><Relationship Type="http://schemas.openxmlformats.org/officeDocument/2006/relationships/worksheet" Target="/xl/worksheets/sheet1.xml" Id="Re1daa27327934d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GLASS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 E GOODING ST, MILLSTADT, IL 62260</x:v>
      </x:c>
      <x:c r="B7" s="11" t="n">
        <x:v>40.52</x:v>
      </x:c>
      <x:c r="C7" s="11" t="n">
        <x:v>135.05</x:v>
      </x:c>
      <x:c r="D7" s="13" t="n">
        <x:f>ROUND(C7-B7,2)</x:f>
        <x:v>94.53</x:v>
      </x:c>
    </x:row>
    <x:row r="8" ht="46" customHeight="1">
      <x:c r="A8" s="14" t="str">
        <x:v>11 E GOODING ST, MILLSTADT, IL 62260
Parcel 12-10.0-101-004</x:v>
      </x:c>
      <x:c r="B8" s="15" t="n">
        <x:v>54.52</x:v>
      </x:c>
      <x:c r="C8" s="15" t="n">
        <x:v>181.73</x:v>
      </x:c>
      <x:c r="D8" s="13" t="n">
        <x:f>ROUND(C8-B8,2)</x:f>
        <x:v>127.21</x:v>
      </x:c>
    </x:row>
    <x:row r="9" ht="46" customHeight="1">
      <x:c r="A9" s="9" t="str">
        <x:v>11 E GOODING ST, MILLSTADT, IL 62260
Parcel 12-10.0-101-005</x:v>
      </x:c>
      <x:c r="B9" s="11" t="n">
        <x:v>1.37</x:v>
      </x:c>
      <x:c r="C9" s="11" t="n">
        <x:v>4.56</x:v>
      </x:c>
      <x:c r="D9" s="13" t="n">
        <x:f>ROUND(C9-B9,2)</x:f>
        <x:v>3.19</x:v>
      </x:c>
    </x:row>
    <x:row r="10" ht="46" customHeight="1">
      <x:c r="A10" s="14" t="str">
        <x:v>19 E GOODING ST, MILLSTADT, IL 62260
Parcel 12-10.0-101-006</x:v>
      </x:c>
      <x:c r="B10" s="15" t="n">
        <x:v>2.08</x:v>
      </x:c>
      <x:c r="C10" s="15" t="n">
        <x:v>6.94</x:v>
      </x:c>
      <x:c r="D10" s="13" t="n">
        <x:f>ROUND(C10-B10,2)</x:f>
        <x:v>4.86</x:v>
      </x:c>
    </x:row>
    <x:row r="11" ht="46" customHeight="1">
      <x:c r="A11" s="9" t="str">
        <x:v>19 E GOODING ST, MILLSTADT, IL 62260
Parcel 12-10.0-101-007</x:v>
      </x:c>
      <x:c r="B11" s="11" t="n">
        <x:v>77.15</x:v>
      </x:c>
      <x:c r="C11" s="11" t="n">
        <x:v>257.18</x:v>
      </x:c>
      <x:c r="D11" s="13" t="n">
        <x:f>ROUND(C11-B11,2)</x:f>
        <x:v>180.03</x:v>
      </x:c>
    </x:row>
    <x:row r="12" ht="46" customHeight="1">
      <x:c r="A12" s="14" t="str">
        <x:v>20 E GOODING ST, MILLSTADT, IL 62260</x:v>
      </x:c>
      <x:c r="B12" s="15" t="n">
        <x:v>75.06</x:v>
      </x:c>
      <x:c r="C12" s="15" t="n">
        <x:v>250.19</x:v>
      </x:c>
      <x:c r="D12" s="13" t="n">
        <x:f>ROUND(C12-B12,2)</x:f>
        <x:v>175.13</x:v>
      </x:c>
    </x:row>
    <x:row r="13" ht="46" customHeight="1">
      <x:c r="A13" s="9" t="str">
        <x:v>101 E GOODING ST, MILLSTADT, IL 62260</x:v>
      </x:c>
      <x:c r="B13" s="11" t="n">
        <x:v>54.42</x:v>
      </x:c>
      <x:c r="C13" s="11" t="n">
        <x:v>181.39</x:v>
      </x:c>
      <x:c r="D13" s="13" t="n">
        <x:f>ROUND(C13-B13,2)</x:f>
        <x:v>126.97</x:v>
      </x:c>
    </x:row>
    <x:row r="14" ht="46" customHeight="1">
      <x:c r="A14" s="14" t="str">
        <x:v>109 E GOODING ST, MILLSTADT, IL 62260</x:v>
      </x:c>
      <x:c r="B14" s="15" t="n">
        <x:v>45.73</x:v>
      </x:c>
      <x:c r="C14" s="15" t="n">
        <x:v>152.45</x:v>
      </x:c>
      <x:c r="D14" s="13" t="n">
        <x:f>ROUND(C14-B14,2)</x:f>
        <x:v>106.72</x:v>
      </x:c>
    </x:row>
    <x:row r="15" ht="46" customHeight="1">
      <x:c r="A15" s="9" t="str">
        <x:v>114 E GOODING ST, MILLSTADT, IL 62260</x:v>
      </x:c>
      <x:c r="B15" s="11" t="n">
        <x:v>49.26</x:v>
      </x:c>
      <x:c r="C15" s="11" t="n">
        <x:v>164.2</x:v>
      </x:c>
      <x:c r="D15" s="13" t="n">
        <x:f>ROUND(C15-B15,2)</x:f>
        <x:v>114.94</x:v>
      </x:c>
    </x:row>
    <x:row r="16" ht="46" customHeight="1">
      <x:c r="A16" s="14" t="str">
        <x:v>118 E GOODING ST, MILLSTADT, IL 62260</x:v>
      </x:c>
      <x:c r="B16" s="15" t="n">
        <x:v>31.04</x:v>
      </x:c>
      <x:c r="C16" s="15" t="n">
        <x:v>103.46</x:v>
      </x:c>
      <x:c r="D16" s="13" t="n">
        <x:f>ROUND(C16-B16,2)</x:f>
        <x:v>72.42</x:v>
      </x:c>
    </x:row>
    <x:row r="17" ht="46" customHeight="1">
      <x:c r="A17" s="9" t="str">
        <x:v>119 E GOODING ST, MILLSTADT, IL 62260
Parcel 12-10.0-102-007</x:v>
      </x:c>
      <x:c r="B17" s="11" t="n">
        <x:v>1.38</x:v>
      </x:c>
      <x:c r="C17" s="11" t="n">
        <x:v>4.6</x:v>
      </x:c>
      <x:c r="D17" s="13" t="n">
        <x:f>ROUND(C17-B17,2)</x:f>
        <x:v>3.22</x:v>
      </x:c>
    </x:row>
    <x:row r="18" ht="46" customHeight="1">
      <x:c r="A18" s="14" t="str">
        <x:v>119 E GOODING ST, MILLSTADT, IL 62260
Parcel 12-10.0-102-008</x:v>
      </x:c>
      <x:c r="B18" s="15" t="n">
        <x:v>80.2</x:v>
      </x:c>
      <x:c r="C18" s="15" t="n">
        <x:v>267.34</x:v>
      </x:c>
      <x:c r="D18" s="13" t="n">
        <x:f>ROUND(C18-B18,2)</x:f>
        <x:v>187.14</x:v>
      </x:c>
    </x:row>
    <x:row r="19" ht="46" customHeight="1">
      <x:c r="A19" s="9" t="str">
        <x:v>7 E MILL ST, MILLSTADT, IL 62260</x:v>
      </x:c>
      <x:c r="B19" s="11" t="n">
        <x:v>202.25</x:v>
      </x:c>
      <x:c r="C19" s="11" t="n">
        <x:v>674.17</x:v>
      </x:c>
      <x:c r="D19" s="13" t="n">
        <x:f>ROUND(C19-B19,2)</x:f>
        <x:v>471.92</x:v>
      </x:c>
    </x:row>
    <x:row r="20" ht="46" customHeight="1">
      <x:c r="A20" s="14" t="str">
        <x:v>15 E MILL ST, MILLSTADT, IL 62260</x:v>
      </x:c>
      <x:c r="B20" s="15" t="n">
        <x:v>11.5</x:v>
      </x:c>
      <x:c r="C20" s="15" t="n">
        <x:v>38.35</x:v>
      </x:c>
      <x:c r="D20" s="13" t="n">
        <x:f>ROUND(C20-B20,2)</x:f>
        <x:v>26.85</x:v>
      </x:c>
    </x:row>
    <x:row r="21" ht="46" customHeight="1">
      <x:c r="A21" s="9" t="str">
        <x:v>19 E MILL ST, MILLSTADT, IL 62260</x:v>
      </x:c>
      <x:c r="B21" s="11" t="n">
        <x:v>55.93</x:v>
      </x:c>
      <x:c r="C21" s="11" t="n">
        <x:v>186.42</x:v>
      </x:c>
      <x:c r="D21" s="13" t="n">
        <x:f>ROUND(C21-B21,2)</x:f>
        <x:v>130.49</x:v>
      </x:c>
    </x:row>
    <x:row r="22" ht="46" customHeight="1">
      <x:c r="A22" s="14" t="str">
        <x:v>103 E MILL ST, MILLSTADT, IL 62260</x:v>
      </x:c>
      <x:c r="B22" s="15" t="n">
        <x:v>55.14</x:v>
      </x:c>
      <x:c r="C22" s="15" t="n">
        <x:v>183.81</x:v>
      </x:c>
      <x:c r="D22" s="13" t="n">
        <x:f>ROUND(C22-B22,2)</x:f>
        <x:v>128.67</x:v>
      </x:c>
    </x:row>
    <x:row r="23" ht="46" customHeight="1">
      <x:c r="A23" s="9" t="str">
        <x:v>109 E MILL ST, MILLSTADT, IL 62260</x:v>
      </x:c>
      <x:c r="B23" s="11" t="n">
        <x:v>54.81</x:v>
      </x:c>
      <x:c r="C23" s="11" t="n">
        <x:v>182.69</x:v>
      </x:c>
      <x:c r="D23" s="13" t="n">
        <x:f>ROUND(C23-B23,2)</x:f>
        <x:v>127.88</x:v>
      </x:c>
    </x:row>
    <x:row r="24" ht="46" customHeight="1">
      <x:c r="A24" s="14" t="str">
        <x:v>119 E MILL ST, MILLSTADT, IL 62260</x:v>
      </x:c>
      <x:c r="B24" s="15" t="n">
        <x:v>65.69</x:v>
      </x:c>
      <x:c r="C24" s="15" t="n">
        <x:v>218.97</x:v>
      </x:c>
      <x:c r="D24" s="13" t="n">
        <x:f>ROUND(C24-B24,2)</x:f>
        <x:v>153.28</x:v>
      </x:c>
    </x:row>
    <x:row r="25" ht="46" customHeight="1">
      <x:c r="A25" s="9" t="str">
        <x:v>112 N BREESE ST, MILLSTADT, IL 62260</x:v>
      </x:c>
      <x:c r="B25" s="11" t="n">
        <x:v>37.62</x:v>
      </x:c>
      <x:c r="C25" s="11" t="n">
        <x:v>125.4</x:v>
      </x:c>
      <x:c r="D25" s="13" t="n">
        <x:f>ROUND(C25-B25,2)</x:f>
        <x:v>87.78</x:v>
      </x:c>
    </x:row>
    <x:row r="26" ht="46" customHeight="1">
      <x:c r="A26" s="14" t="str">
        <x:v>110 N JEFFERSON AV, MILLSTADT, IL 62260</x:v>
      </x:c>
      <x:c r="B26" s="15" t="n">
        <x:v>49.43</x:v>
      </x:c>
      <x:c r="C26" s="15" t="n">
        <x:v>164.77</x:v>
      </x:c>
      <x:c r="D26" s="13" t="n">
        <x:f>ROUND(C26-B26,2)</x:f>
        <x:v>115.34</x:v>
      </x:c>
    </x:row>
    <x:row r="27" ht="46" customHeight="1">
      <x:c r="A27" s="9" t="str">
        <x:v>116 N JEFFERSON ST, MILLSTADT, IL 62260</x:v>
      </x:c>
      <x:c r="B27" s="11" t="n">
        <x:v>50.22</x:v>
      </x:c>
      <x:c r="C27" s="11" t="n">
        <x:v>167.41</x:v>
      </x:c>
      <x:c r="D27" s="13" t="n">
        <x:f>ROUND(C27-B27,2)</x:f>
        <x:v>117.19</x:v>
      </x:c>
    </x:row>
    <x:row r="28" ht="46" customHeight="1">
      <x:c r="A28" s="14" t="str">
        <x:v>202 N JEFFERSON ST, MILLSTADT, IL 62260</x:v>
      </x:c>
      <x:c r="B28" s="15" t="n">
        <x:v>68.06</x:v>
      </x:c>
      <x:c r="C28" s="15" t="n">
        <x:v>226.86</x:v>
      </x:c>
      <x:c r="D28" s="13" t="n">
        <x:f>ROUND(C28-B28,2)</x:f>
        <x:v>158.8</x:v>
      </x:c>
    </x:row>
  </x:sheetData>
  <x:sheetProtection algorithmName="SHA-512" hashValue="/VzFXYTJS62CUDUxFdG2QBKfhft7wuISRBy0B99DdkWeAUnaKwkji2+UWZhNPtLWQmNNTSst2x5BCpInSldaYg==" saltValue="faETEavk8/6w1F9WXkU3VA==" spinCount="100000" sheet="1" objects="1" scenarios="1"/>
  <x:pageMargins left="0.7" right="0.7" top="0.75" bottom="0.75" header="0.3" footer="0.3"/>
</x:worksheet>
</file>