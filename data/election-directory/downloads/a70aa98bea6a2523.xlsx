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aa85a14ba4e4e" /></Relationships>
</file>

<file path=xl/workbook.xml><?xml version="1.0" encoding="utf-8"?>
<x:workbook xmlns:x="http://schemas.openxmlformats.org/spreadsheetml/2006/main">
  <x:workbookProtection workbookAlgorithmName="SHA-512" workbookHashValue="UIgNhsX8H/VVtB6uEzCYXhKjOiSKok09vRwZyUf9vCFda7/kuQnPN8z8f6FJAd9V2Mg3TAAk7pyoUgasA8zlhw==" workbookSaltValue="VLJTvlI6+G725GZFJPOaXQ==" workbookSpinCount="100000" lockStructure="1"/>
  <x:sheets>
    <x:sheet xmlns:r="http://schemas.openxmlformats.org/officeDocument/2006/relationships" name="Annual EMS taxes" sheetId="1" r:id="R617c64d0da1c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ad76479c64396" /><Relationship Type="http://schemas.openxmlformats.org/officeDocument/2006/relationships/theme" Target="/xl/theme/theme1.xml" Id="R9ed17c61f57d4e8e" /><Relationship Type="http://schemas.openxmlformats.org/officeDocument/2006/relationships/sharedStrings" Target="/xl/sharedStrings.xml" Id="Rf938296ccdaf4fad" /><Relationship Type="http://schemas.openxmlformats.org/officeDocument/2006/relationships/worksheet" Target="/xl/worksheets/sheet1.xml" Id="R617c64d0da1c4e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8040 CONCORDIA CHURCH RD, BELLEVILLE, IL 62223</x:v>
      </x:c>
      <x:c r="B7" s="11" t="n">
        <x:v>25.29</x:v>
      </x:c>
      <x:c r="C7" s="11" t="n">
        <x:v>84.3</x:v>
      </x:c>
      <x:c r="D7" s="13" t="n">
        <x:f>ROUND(C7-B7,2)</x:f>
        <x:v>59.01</x:v>
      </x:c>
    </x:row>
    <x:row r="8" ht="46" customHeight="1">
      <x:c r="A8" s="14" t="str">
        <x:v>8000 CONCORDIA RD, BELLEVILLE, IL 62223</x:v>
      </x:c>
      <x:c r="B8" s="15" t="n">
        <x:v>32.58</x:v>
      </x:c>
      <x:c r="C8" s="15" t="n">
        <x:v>108.61</x:v>
      </x:c>
      <x:c r="D8" s="13" t="n">
        <x:f>ROUND(C8-B8,2)</x:f>
        <x:v>76.03</x:v>
      </x:c>
    </x:row>
    <x:row r="9" ht="46" customHeight="1">
      <x:c r="A9" s="9" t="str">
        <x:v>8020 CONCORDIA RD, BELLEVILLE, IL 62223</x:v>
      </x:c>
      <x:c r="B9" s="11" t="n">
        <x:v>74.34</x:v>
      </x:c>
      <x:c r="C9" s="11" t="n">
        <x:v>247.79</x:v>
      </x:c>
      <x:c r="D9" s="13" t="n">
        <x:f>ROUND(C9-B9,2)</x:f>
        <x:v>173.45</x:v>
      </x:c>
    </x:row>
    <x:row r="10" ht="46" customHeight="1">
      <x:c r="A10" s="14" t="str">
        <x:v>8100 CONCORDIA RD, BELLEVILLE, IL 62223</x:v>
      </x:c>
      <x:c r="B10" s="15" t="n">
        <x:v>60.4</x:v>
      </x:c>
      <x:c r="C10" s="15" t="n">
        <x:v>201.34</x:v>
      </x:c>
      <x:c r="D10" s="13" t="n">
        <x:f>ROUND(C10-B10,2)</x:f>
        <x:v>140.94</x:v>
      </x:c>
    </x:row>
    <x:row r="11" ht="46" customHeight="1">
      <x:c r="A11" s="9" t="str">
        <x:v>8180 CONCORDIA RD, BELLEVILLE, IL 62223</x:v>
      </x:c>
      <x:c r="B11" s="11" t="n">
        <x:v>2.39</x:v>
      </x:c>
      <x:c r="C11" s="11" t="n">
        <x:v>7.96</x:v>
      </x:c>
      <x:c r="D11" s="13" t="n">
        <x:f>ROUND(C11-B11,2)</x:f>
        <x:v>5.57</x:v>
      </x:c>
    </x:row>
    <x:row r="12" ht="46" customHeight="1">
      <x:c r="A12" s="14" t="str">
        <x:v>8190 CONCORDIA RD, BELLEVILLE, IL 62223</x:v>
      </x:c>
      <x:c r="B12" s="15" t="n">
        <x:v>38.47</x:v>
      </x:c>
      <x:c r="C12" s="15" t="n">
        <x:v>128.24</x:v>
      </x:c>
      <x:c r="D12" s="13" t="n">
        <x:f>ROUND(C12-B12,2)</x:f>
        <x:v>89.77</x:v>
      </x:c>
    </x:row>
    <x:row r="13" ht="46" customHeight="1">
      <x:c r="A13" s="9" t="str">
        <x:v>8200 CONCORDIA RD, BELLEVILLE, IL 62223</x:v>
      </x:c>
      <x:c r="B13" s="11" t="n">
        <x:v>37.61</x:v>
      </x:c>
      <x:c r="C13" s="11" t="n">
        <x:v>125.37</x:v>
      </x:c>
      <x:c r="D13" s="13" t="n">
        <x:f>ROUND(C13-B13,2)</x:f>
        <x:v>87.76</x:v>
      </x:c>
    </x:row>
    <x:row r="14" ht="46" customHeight="1">
      <x:c r="A14" s="14" t="str">
        <x:v>8300 CONCORDIA RD, BELLEVILLE, IL 62223</x:v>
      </x:c>
      <x:c r="B14" s="15" t="n">
        <x:v>67.88</x:v>
      </x:c>
      <x:c r="C14" s="15" t="n">
        <x:v>226.28</x:v>
      </x:c>
      <x:c r="D14" s="13" t="n">
        <x:f>ROUND(C14-B14,2)</x:f>
        <x:v>158.4</x:v>
      </x:c>
    </x:row>
    <x:row r="15" ht="46" customHeight="1">
      <x:c r="A15" s="9" t="str">
        <x:v>8700 CONCORDIA RD, BELLEVILLE, IL 62223
Parcel 07-34.0-200-001</x:v>
      </x:c>
      <x:c r="B15" s="11" t="n">
        <x:v>42.05</x:v>
      </x:c>
      <x:c r="C15" s="11" t="n">
        <x:v>140.15</x:v>
      </x:c>
      <x:c r="D15" s="13" t="n">
        <x:f>ROUND(C15-B15,2)</x:f>
        <x:v>98.1</x:v>
      </x:c>
    </x:row>
    <x:row r="16" ht="46" customHeight="1">
      <x:c r="A16" s="14" t="str">
        <x:v>8700 CONCORDIA RD, BELLEVILLE, IL 62223
Parcel 07-34.0-200-011</x:v>
      </x:c>
      <x:c r="B16" s="15" t="n">
        <x:v>3.26</x:v>
      </x:c>
      <x:c r="C16" s="15" t="n">
        <x:v>10.87</x:v>
      </x:c>
      <x:c r="D16" s="13" t="n">
        <x:f>ROUND(C16-B16,2)</x:f>
        <x:v>7.61</x:v>
      </x:c>
    </x:row>
    <x:row r="17" ht="46" customHeight="1">
      <x:c r="A17" s="9" t="str">
        <x:v>9112 CONCORDIA RD, BELLEVILLE, IL 62223</x:v>
      </x:c>
      <x:c r="B17" s="11" t="n">
        <x:v>32.46</x:v>
      </x:c>
      <x:c r="C17" s="11" t="n">
        <x:v>108.19</x:v>
      </x:c>
      <x:c r="D17" s="13" t="n">
        <x:f>ROUND(C17-B17,2)</x:f>
        <x:v>75.73</x:v>
      </x:c>
    </x:row>
    <x:row r="18" ht="46" customHeight="1">
      <x:c r="A18" s="14" t="str">
        <x:v>7510 HAAS HILLS LN, BELLEVILLE, IL 62223</x:v>
      </x:c>
      <x:c r="B18" s="15" t="n">
        <x:v>64.66</x:v>
      </x:c>
      <x:c r="C18" s="15" t="n">
        <x:v>215.53</x:v>
      </x:c>
      <x:c r="D18" s="13" t="n">
        <x:f>ROUND(C18-B18,2)</x:f>
        <x:v>150.87</x:v>
      </x:c>
    </x:row>
    <x:row r="19" ht="46" customHeight="1">
      <x:c r="A19" s="9" t="str">
        <x:v>7524 HAAS HILLS LN, BELLEVILLE, IL 62223</x:v>
      </x:c>
      <x:c r="B19" s="11" t="n">
        <x:v>15.75</x:v>
      </x:c>
      <x:c r="C19" s="11" t="n">
        <x:v>52.5</x:v>
      </x:c>
      <x:c r="D19" s="13" t="n">
        <x:f>ROUND(C19-B19,2)</x:f>
        <x:v>36.75</x:v>
      </x:c>
    </x:row>
    <x:row r="20" ht="46" customHeight="1">
      <x:c r="A20" s="14" t="str">
        <x:v>7545 HAAS HILLS LN, BELLEVILLE, IL 62223</x:v>
      </x:c>
      <x:c r="B20" s="15" t="n">
        <x:v>49.38</x:v>
      </x:c>
      <x:c r="C20" s="15" t="n">
        <x:v>164.59</x:v>
      </x:c>
      <x:c r="D20" s="13" t="n">
        <x:f>ROUND(C20-B20,2)</x:f>
        <x:v>115.21</x:v>
      </x:c>
    </x:row>
    <x:row r="21" ht="46" customHeight="1">
      <x:c r="A21" s="9" t="str">
        <x:v>7565 HAAS HILLS LN, BELLEVILLE, IL 62223</x:v>
      </x:c>
      <x:c r="B21" s="11" t="n">
        <x:v>55.36</x:v>
      </x:c>
      <x:c r="C21" s="11" t="n">
        <x:v>184.54</x:v>
      </x:c>
      <x:c r="D21" s="13" t="n">
        <x:f>ROUND(C21-B21,2)</x:f>
        <x:v>129.18</x:v>
      </x:c>
    </x:row>
    <x:row r="22" ht="46" customHeight="1">
      <x:c r="A22" s="14" t="str">
        <x:v>3609 LAKE LN, MILLSTADT, IL 62260
Parcel 07-34.0-100-005</x:v>
      </x:c>
      <x:c r="B22" s="15" t="n">
        <x:v>14.19</x:v>
      </x:c>
      <x:c r="C22" s="15" t="n">
        <x:v>47.29</x:v>
      </x:c>
      <x:c r="D22" s="13" t="n">
        <x:f>ROUND(C22-B22,2)</x:f>
        <x:v>33.1</x:v>
      </x:c>
    </x:row>
    <x:row r="23" ht="46" customHeight="1">
      <x:c r="A23" s="9" t="str">
        <x:v>3609 LAKE LN, MILLSTADT, IL 62260
Parcel 07-34.0-100-007</x:v>
      </x:c>
      <x:c r="B23" s="11" t="n">
        <x:v>38.32</x:v>
      </x:c>
      <x:c r="C23" s="11" t="n">
        <x:v>127.74</x:v>
      </x:c>
      <x:c r="D23" s="13" t="n">
        <x:f>ROUND(C23-B23,2)</x:f>
        <x:v>89.42</x:v>
      </x:c>
    </x:row>
    <x:row r="24" ht="46" customHeight="1">
      <x:c r="A24" s="14" t="str">
        <x:v>3668 LAKE LN, MILLSTADT, IL 62260</x:v>
      </x:c>
      <x:c r="B24" s="15" t="n">
        <x:v>7.47</x:v>
      </x:c>
      <x:c r="C24" s="15" t="n">
        <x:v>24.92</x:v>
      </x:c>
      <x:c r="D24" s="13" t="n">
        <x:f>ROUND(C24-B24,2)</x:f>
        <x:v>17.45</x:v>
      </x:c>
    </x:row>
    <x:row r="25" ht="46" customHeight="1">
      <x:c r="A25" s="9" t="str">
        <x:v>3669 LAKE LN, MILLSTADT, IL 62260</x:v>
      </x:c>
      <x:c r="B25" s="11" t="n">
        <x:v>7.03</x:v>
      </x:c>
      <x:c r="C25" s="11" t="n">
        <x:v>23.45</x:v>
      </x:c>
      <x:c r="D25" s="13" t="n">
        <x:f>ROUND(C25-B25,2)</x:f>
        <x:v>16.42</x:v>
      </x:c>
    </x:row>
    <x:row r="26" ht="46" customHeight="1">
      <x:c r="A26" s="14" t="str">
        <x:v>3674 LAKE LN, MILLSTADT, IL 62260</x:v>
      </x:c>
      <x:c r="B26" s="15" t="n">
        <x:v>0.73</x:v>
      </x:c>
      <x:c r="C26" s="15" t="n">
        <x:v>2.44</x:v>
      </x:c>
      <x:c r="D26" s="13" t="n">
        <x:f>ROUND(C26-B26,2)</x:f>
        <x:v>1.71</x:v>
      </x:c>
    </x:row>
    <x:row r="27" ht="46" customHeight="1">
      <x:c r="A27" s="9" t="str">
        <x:v>3678 LAKE LN, MILLSTADT, IL 62260</x:v>
      </x:c>
      <x:c r="B27" s="11" t="n">
        <x:v>15.71</x:v>
      </x:c>
      <x:c r="C27" s="11" t="n">
        <x:v>52.35</x:v>
      </x:c>
      <x:c r="D27" s="13" t="n">
        <x:f>ROUND(C27-B27,2)</x:f>
        <x:v>36.64</x:v>
      </x:c>
    </x:row>
    <x:row r="28" ht="46" customHeight="1">
      <x:c r="A28" s="14" t="str">
        <x:v>3617 MINE HAUL RD, MILLSTADT, IL 62260</x:v>
      </x:c>
      <x:c r="B28" s="15" t="n">
        <x:v>84.68</x:v>
      </x:c>
      <x:c r="C28" s="15" t="n">
        <x:v>282.27</x:v>
      </x:c>
      <x:c r="D28" s="13" t="n">
        <x:f>ROUND(C28-B28,2)</x:f>
        <x:v>197.59</x:v>
      </x:c>
    </x:row>
    <x:row r="29" ht="46" customHeight="1">
      <x:c r="A29" s="9" t="str">
        <x:v>3803 MINE HAUL RD, MILLSTADT, IL 62260
Parcel 07-34.0-300-036</x:v>
      </x:c>
      <x:c r="B29" s="11" t="n">
        <x:v>37.73</x:v>
      </x:c>
      <x:c r="C29" s="11" t="n">
        <x:v>125.76</x:v>
      </x:c>
      <x:c r="D29" s="13" t="n">
        <x:f>ROUND(C29-B29,2)</x:f>
        <x:v>88.03</x:v>
      </x:c>
    </x:row>
    <x:row r="30" ht="46" customHeight="1">
      <x:c r="A30" s="14" t="str">
        <x:v>3803 MINE HAUL RD, MILLSTADT, IL 62260
Parcel 07-34.0-300-037</x:v>
      </x:c>
      <x:c r="B30" s="15" t="n">
        <x:v>90.28</x:v>
      </x:c>
      <x:c r="C30" s="15" t="n">
        <x:v>300.93</x:v>
      </x:c>
      <x:c r="D30" s="13" t="n">
        <x:f>ROUND(C30-B30,2)</x:f>
        <x:v>210.65</x:v>
      </x:c>
    </x:row>
    <x:row r="31" ht="46" customHeight="1">
      <x:c r="A31" s="9" t="str">
        <x:v>3841 MINE HAUL RD, MILLSTADT, IL 62260</x:v>
      </x:c>
      <x:c r="B31" s="11" t="n">
        <x:v>21.14</x:v>
      </x:c>
      <x:c r="C31" s="11" t="n">
        <x:v>70.48</x:v>
      </x:c>
      <x:c r="D31" s="13" t="n">
        <x:f>ROUND(C31-B31,2)</x:f>
        <x:v>49.34</x:v>
      </x:c>
    </x:row>
    <x:row r="32" ht="46" customHeight="1">
      <x:c r="A32" s="14" t="str">
        <x:v>3908 MINE HAUL RD, BELLEVILLE, IL 62223</x:v>
      </x:c>
      <x:c r="B32" s="15" t="n">
        <x:v>38.52</x:v>
      </x:c>
      <x:c r="C32" s="15" t="n">
        <x:v>128.39</x:v>
      </x:c>
      <x:c r="D32" s="13" t="n">
        <x:f>ROUND(C32-B32,2)</x:f>
        <x:v>89.87</x:v>
      </x:c>
    </x:row>
    <x:row r="33" ht="46" customHeight="1">
      <x:c r="A33" s="9" t="str">
        <x:v>3935 MINE HAUL RD, MILLSTADT, IL 62260
Parcel 07-34.0-400-018</x:v>
      </x:c>
      <x:c r="B33" s="11" t="n">
        <x:v>2</x:v>
      </x:c>
      <x:c r="C33" s="11" t="n">
        <x:v>6.67</x:v>
      </x:c>
      <x:c r="D33" s="13" t="n">
        <x:f>ROUND(C33-B33,2)</x:f>
        <x:v>4.67</x:v>
      </x:c>
    </x:row>
    <x:row r="34" ht="46" customHeight="1">
      <x:c r="A34" s="14" t="str">
        <x:v>3935 MINE HAUL RD, MILLSTADT, IL 62260
Parcel 07-34.0-400-019</x:v>
      </x:c>
      <x:c r="B34" s="15" t="n">
        <x:v>0</x:v>
      </x:c>
      <x:c r="C34" s="15" t="n">
        <x:v>0</x:v>
      </x:c>
      <x:c r="D34" s="13" t="n">
        <x:f>ROUND(C34-B34,2)</x:f>
        <x:v>0</x:v>
      </x:c>
    </x:row>
    <x:row r="35" ht="46" customHeight="1">
      <x:c r="A35" s="9" t="str">
        <x:v>7319 MY LAKEVIEW DR, MILLSTADT, IL 62260</x:v>
      </x:c>
      <x:c r="B35" s="11" t="n">
        <x:v>86.09</x:v>
      </x:c>
      <x:c r="C35" s="11" t="n">
        <x:v>286.96</x:v>
      </x:c>
      <x:c r="D35" s="13" t="n">
        <x:f>ROUND(C35-B35,2)</x:f>
        <x:v>200.87</x:v>
      </x:c>
    </x:row>
    <x:row r="36" ht="46" customHeight="1">
      <x:c r="A36" s="14" t="str">
        <x:v>7331 MY LAKEVIEW DR, MILLSTADT, IL 62260</x:v>
      </x:c>
      <x:c r="B36" s="15" t="n">
        <x:v>91.77</x:v>
      </x:c>
      <x:c r="C36" s="15" t="n">
        <x:v>305.9</x:v>
      </x:c>
      <x:c r="D36" s="13" t="n">
        <x:f>ROUND(C36-B36,2)</x:f>
        <x:v>214.13</x:v>
      </x:c>
    </x:row>
    <x:row r="37" ht="46" customHeight="1">
      <x:c r="A37" s="9" t="str">
        <x:v>7343 MY LAKEVIEW DR, MILLSTADT, IL 62260</x:v>
      </x:c>
      <x:c r="B37" s="11" t="n">
        <x:v>42.6</x:v>
      </x:c>
      <x:c r="C37" s="11" t="n">
        <x:v>142</x:v>
      </x:c>
      <x:c r="D37" s="13" t="n">
        <x:f>ROUND(C37-B37,2)</x:f>
        <x:v>99.4</x:v>
      </x:c>
    </x:row>
    <x:row r="38" ht="46" customHeight="1">
      <x:c r="A38" s="14" t="str">
        <x:v>7354 MY LAKEVIEW DR, MILLSTADT, IL 62260</x:v>
      </x:c>
      <x:c r="B38" s="15" t="n">
        <x:v>60.96</x:v>
      </x:c>
      <x:c r="C38" s="15" t="n">
        <x:v>203.18</x:v>
      </x:c>
      <x:c r="D38" s="13" t="n">
        <x:f>ROUND(C38-B38,2)</x:f>
        <x:v>142.22</x:v>
      </x:c>
    </x:row>
    <x:row r="39" ht="46" customHeight="1">
      <x:c r="A39" s="9" t="str">
        <x:v>7356 STATE RT 163, MILLSTADT, IL 62260</x:v>
      </x:c>
      <x:c r="B39" s="11" t="n">
        <x:v>97.92</x:v>
      </x:c>
      <x:c r="C39" s="11" t="n">
        <x:v>326.41</x:v>
      </x:c>
      <x:c r="D39" s="13" t="n">
        <x:f>ROUND(C39-B39,2)</x:f>
        <x:v>228.49</x:v>
      </x:c>
    </x:row>
    <x:row r="40" ht="46" customHeight="1">
      <x:c r="A40" s="14" t="str">
        <x:v>7264 STATE RTE 163, MILLSTADT, IL 62260</x:v>
      </x:c>
      <x:c r="B40" s="15" t="n">
        <x:v>77</x:v>
      </x:c>
      <x:c r="C40" s="15" t="n">
        <x:v>256.68</x:v>
      </x:c>
      <x:c r="D40" s="13" t="n">
        <x:f>ROUND(C40-B40,2)</x:f>
        <x:v>179.68</x:v>
      </x:c>
    </x:row>
    <x:row r="41" ht="46" customHeight="1">
      <x:c r="A41" s="9" t="str">
        <x:v>7301 VOGEL LN, MILLSTADT, IL 62260</x:v>
      </x:c>
      <x:c r="B41" s="11" t="n">
        <x:v>13.4</x:v>
      </x:c>
      <x:c r="C41" s="11" t="n">
        <x:v>44.66</x:v>
      </x:c>
      <x:c r="D41" s="13" t="n">
        <x:f>ROUND(C41-B41,2)</x:f>
        <x:v>31.26</x:v>
      </x:c>
    </x:row>
    <x:row r="42" ht="46" customHeight="1">
      <x:c r="A42" s="14" t="str">
        <x:v>7330 VOGEL LN, MILLSTADT, IL 62260</x:v>
      </x:c>
      <x:c r="B42" s="15" t="n">
        <x:v>130.18</x:v>
      </x:c>
      <x:c r="C42" s="15" t="n">
        <x:v>433.92</x:v>
      </x:c>
      <x:c r="D42" s="13" t="n">
        <x:f>ROUND(C42-B42,2)</x:f>
        <x:v>303.74</x:v>
      </x:c>
    </x:row>
    <x:row r="43" ht="46" customHeight="1">
      <x:c r="A43" s="9" t="str">
        <x:v>7406 VOGEL LN, MILLSTADT, IL 62260</x:v>
      </x:c>
      <x:c r="B43" s="11" t="n">
        <x:v>86.04</x:v>
      </x:c>
      <x:c r="C43" s="11" t="n">
        <x:v>286.79</x:v>
      </x:c>
      <x:c r="D43" s="13" t="n">
        <x:f>ROUND(C43-B43,2)</x:f>
        <x:v>200.75</x:v>
      </x:c>
    </x:row>
    <x:row r="44" ht="46" customHeight="1">
      <x:c r="A44" s="14" t="str">
        <x:v>7411 VOGEL LN, MILLSTADT, IL 62260</x:v>
      </x:c>
      <x:c r="B44" s="15" t="n">
        <x:v>44.94</x:v>
      </x:c>
      <x:c r="C44" s="15" t="n">
        <x:v>149.81</x:v>
      </x:c>
      <x:c r="D44" s="13" t="n">
        <x:f>ROUND(C44-B44,2)</x:f>
        <x:v>104.87</x:v>
      </x:c>
    </x:row>
    <x:row r="45" ht="46" customHeight="1">
      <x:c r="A45" s="9" t="str">
        <x:v>7412 VOGEL LN, MILLSTADT, IL 62260</x:v>
      </x:c>
      <x:c r="B45" s="11" t="n">
        <x:v>66.55</x:v>
      </x:c>
      <x:c r="C45" s="11" t="n">
        <x:v>221.84</x:v>
      </x:c>
      <x:c r="D45" s="13" t="n">
        <x:f>ROUND(C45-B45,2)</x:f>
        <x:v>155.29</x:v>
      </x:c>
    </x:row>
    <x:row r="46" ht="46" customHeight="1">
      <x:c r="A46" s="14" t="str">
        <x:v>7418 VOGEL LN, MILLSTADT, IL 62260</x:v>
      </x:c>
      <x:c r="B46" s="15" t="n">
        <x:v>79.7</x:v>
      </x:c>
      <x:c r="C46" s="15" t="n">
        <x:v>265.67</x:v>
      </x:c>
      <x:c r="D46" s="13" t="n">
        <x:f>ROUND(C46-B46,2)</x:f>
        <x:v>185.97</x:v>
      </x:c>
    </x:row>
    <x:row r="47" ht="46" customHeight="1">
      <x:c r="A47" s="9" t="str">
        <x:v>7430 VOGEL LN, MILLSTADT, IL 62260</x:v>
      </x:c>
      <x:c r="B47" s="11" t="n">
        <x:v>151.92</x:v>
      </x:c>
      <x:c r="C47" s="11" t="n">
        <x:v>506.4</x:v>
      </x:c>
      <x:c r="D47" s="13" t="n">
        <x:f>ROUND(C47-B47,2)</x:f>
        <x:v>354.48</x:v>
      </x:c>
    </x:row>
    <x:row r="48" ht="46" customHeight="1">
      <x:c r="A48" s="14" t="str">
        <x:v>7436 VOGEL LN, MILLSTADT, IL 62260</x:v>
      </x:c>
      <x:c r="B48" s="15" t="n">
        <x:v>156.8</x:v>
      </x:c>
      <x:c r="C48" s="15" t="n">
        <x:v>522.66</x:v>
      </x:c>
      <x:c r="D48" s="13" t="n">
        <x:f>ROUND(C48-B48,2)</x:f>
        <x:v>365.86</x:v>
      </x:c>
    </x:row>
    <x:row r="49" ht="46" customHeight="1">
      <x:c r="A49" s="9" t="str">
        <x:v>7442 VOGEL LN, MILLSTADT, IL 62260</x:v>
      </x:c>
      <x:c r="B49" s="11" t="n">
        <x:v>0</x:v>
      </x:c>
      <x:c r="C49" s="11" t="n">
        <x:v>0</x:v>
      </x:c>
      <x:c r="D49" s="13" t="n">
        <x:f>ROUND(C49-B49,2)</x:f>
        <x:v>0</x:v>
      </x:c>
    </x:row>
  </x:sheetData>
  <x:sheetProtection algorithmName="SHA-512" hashValue="UIgNhsX8H/VVtB6uEzCYXhKjOiSKok09vRwZyUf9vCFda7/kuQnPN8z8f6FJAd9V2Mg3TAAk7pyoUgasA8zlhw==" saltValue="VLJTvlI6+G725GZFJPOaXQ==" spinCount="100000" sheet="1" objects="1" scenarios="1"/>
  <x:pageMargins left="0.7" right="0.7" top="0.75" bottom="0.75" header="0.3" footer="0.3"/>
</x:worksheet>
</file>