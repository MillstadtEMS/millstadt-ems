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b9bd535f042c5" /></Relationships>
</file>

<file path=xl/workbook.xml><?xml version="1.0" encoding="utf-8"?>
<x:workbook xmlns:x="http://schemas.openxmlformats.org/spreadsheetml/2006/main">
  <x:workbookProtection workbookAlgorithmName="SHA-512" workbookHashValue="4duQmXAjfmbF4KyCowfZuPfXQdPNlJkqq/+vB+gexL9fC9Iaq70AWpaSFxNLKBqf7KVpes4pwXz1swG+1hxdXw==" workbookSaltValue="PawslDC6Fz7j7ZDEcISUUw==" workbookSpinCount="100000" lockStructure="1"/>
  <x:sheets>
    <x:sheet xmlns:r="http://schemas.openxmlformats.org/officeDocument/2006/relationships" name="Annual EMS taxes" sheetId="1" r:id="R07240641cee6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b10dc29d04afb" /><Relationship Type="http://schemas.openxmlformats.org/officeDocument/2006/relationships/theme" Target="/xl/theme/theme1.xml" Id="Rf01d3bfa0d54492e" /><Relationship Type="http://schemas.openxmlformats.org/officeDocument/2006/relationships/sharedStrings" Target="/xl/sharedStrings.xml" Id="R8e07c372d0c0415d" /><Relationship Type="http://schemas.openxmlformats.org/officeDocument/2006/relationships/worksheet" Target="/xl/worksheets/sheet1.xml" Id="R07240641cee647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PROBSTMEYERS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420 E LAUREL, MILLSTADT, IL 62260</x:v>
      </x:c>
      <x:c r="B7" s="11" t="n">
        <x:v>46.49</x:v>
      </x:c>
      <x:c r="C7" s="11" t="n">
        <x:v>154.98</x:v>
      </x:c>
      <x:c r="D7" s="13" t="n">
        <x:f>ROUND(C7-B7,2)</x:f>
        <x:v>108.49</x:v>
      </x:c>
    </x:row>
    <x:row r="8" ht="46" customHeight="1">
      <x:c r="A8" s="14" t="str">
        <x:v>426 E LAUREL, MILLSTADT, IL 62260</x:v>
      </x:c>
      <x:c r="B8" s="15" t="n">
        <x:v>149.64</x:v>
      </x:c>
      <x:c r="C8" s="15" t="n">
        <x:v>498.8</x:v>
      </x:c>
      <x:c r="D8" s="13" t="n">
        <x:f>ROUND(C8-B8,2)</x:f>
        <x:v>349.16</x:v>
      </x:c>
    </x:row>
    <x:row r="9" ht="46" customHeight="1">
      <x:c r="A9" s="9" t="str">
        <x:v>401 E LAUREL ST, MILLSTADT, IL 62260</x:v>
      </x:c>
      <x:c r="B9" s="11" t="n">
        <x:v>29.78</x:v>
      </x:c>
      <x:c r="C9" s="11" t="n">
        <x:v>99.26</x:v>
      </x:c>
      <x:c r="D9" s="13" t="n">
        <x:f>ROUND(C9-B9,2)</x:f>
        <x:v>69.48</x:v>
      </x:c>
    </x:row>
    <x:row r="10" ht="46" customHeight="1">
      <x:c r="A10" s="14" t="str">
        <x:v>405 E LAUREL ST, MILLSTADT, IL 62260</x:v>
      </x:c>
      <x:c r="B10" s="15" t="n">
        <x:v>18.38</x:v>
      </x:c>
      <x:c r="C10" s="15" t="n">
        <x:v>61.25</x:v>
      </x:c>
      <x:c r="D10" s="13" t="n">
        <x:f>ROUND(C10-B10,2)</x:f>
        <x:v>42.87</x:v>
      </x:c>
    </x:row>
    <x:row r="11" ht="46" customHeight="1">
      <x:c r="A11" s="9" t="str">
        <x:v>409 E LAUREL ST, MILLSTADT, IL 62260</x:v>
      </x:c>
      <x:c r="B11" s="11" t="n">
        <x:v>0</x:v>
      </x:c>
      <x:c r="C11" s="11" t="n">
        <x:v>0</x:v>
      </x:c>
      <x:c r="D11" s="13" t="n">
        <x:f>ROUND(C11-B11,2)</x:f>
        <x:v>0</x:v>
      </x:c>
    </x:row>
    <x:row r="12" ht="46" customHeight="1">
      <x:c r="A12" s="14" t="str">
        <x:v>410 E LAUREL ST, MILLSTADT, IL 62260
Parcel 12-10.0-323-006</x:v>
      </x:c>
      <x:c r="B12" s="15" t="n">
        <x:v>0</x:v>
      </x:c>
      <x:c r="C12" s="15" t="n">
        <x:v>0</x:v>
      </x:c>
      <x:c r="D12" s="13" t="n">
        <x:f>ROUND(C12-B12,2)</x:f>
        <x:v>0</x:v>
      </x:c>
    </x:row>
    <x:row r="13" ht="46" customHeight="1">
      <x:c r="A13" s="9" t="str">
        <x:v>412 E LAUREL ST, MILLSTADT, IL 62260</x:v>
      </x:c>
      <x:c r="B13" s="11" t="n">
        <x:v>12.99</x:v>
      </x:c>
      <x:c r="C13" s="11" t="n">
        <x:v>43.29</x:v>
      </x:c>
      <x:c r="D13" s="13" t="n">
        <x:f>ROUND(C13-B13,2)</x:f>
        <x:v>30.3</x:v>
      </x:c>
    </x:row>
    <x:row r="14" ht="46" customHeight="1">
      <x:c r="A14" s="14" t="str">
        <x:v>413 E LAUREL ST, MILLSTADT, IL 62260</x:v>
      </x:c>
      <x:c r="B14" s="15" t="n">
        <x:v>54.36</x:v>
      </x:c>
      <x:c r="C14" s="15" t="n">
        <x:v>181.2</x:v>
      </x:c>
      <x:c r="D14" s="13" t="n">
        <x:f>ROUND(C14-B14,2)</x:f>
        <x:v>126.84</x:v>
      </x:c>
    </x:row>
    <x:row r="15" ht="46" customHeight="1">
      <x:c r="A15" s="9" t="str">
        <x:v>419 E LAUREL ST, MILLSTADT, IL 62260
Parcel 12-10.0-313-012</x:v>
      </x:c>
      <x:c r="B15" s="11" t="n">
        <x:v>40.27</x:v>
      </x:c>
      <x:c r="C15" s="11" t="n">
        <x:v>134.24</x:v>
      </x:c>
      <x:c r="D15" s="13" t="n">
        <x:f>ROUND(C15-B15,2)</x:f>
        <x:v>93.97</x:v>
      </x:c>
    </x:row>
    <x:row r="16" ht="46" customHeight="1">
      <x:c r="A16" s="14" t="str">
        <x:v>419 E LAUREL ST, MILLSTADT, IL 62260
Parcel 12-10.0-313-018</x:v>
      </x:c>
      <x:c r="B16" s="15" t="n">
        <x:v>4.73</x:v>
      </x:c>
      <x:c r="C16" s="15" t="n">
        <x:v>15.76</x:v>
      </x:c>
      <x:c r="D16" s="13" t="n">
        <x:f>ROUND(C16-B16,2)</x:f>
        <x:v>11.03</x:v>
      </x:c>
    </x:row>
    <x:row r="17" ht="46" customHeight="1">
      <x:c r="A17" s="9" t="str">
        <x:v>428 E LAUREL ST, MILLSTADT, IL 62260</x:v>
      </x:c>
      <x:c r="B17" s="11" t="n">
        <x:v>52.44</x:v>
      </x:c>
      <x:c r="C17" s="11" t="n">
        <x:v>174.8</x:v>
      </x:c>
      <x:c r="D17" s="13" t="n">
        <x:f>ROUND(C17-B17,2)</x:f>
        <x:v>122.36</x:v>
      </x:c>
    </x:row>
    <x:row r="18" ht="46" customHeight="1">
      <x:c r="A18" s="14" t="str">
        <x:v>432 E LAUREL ST, MILLSTADT, IL 62260</x:v>
      </x:c>
      <x:c r="B18" s="15" t="n">
        <x:v>51.83</x:v>
      </x:c>
      <x:c r="C18" s="15" t="n">
        <x:v>172.78</x:v>
      </x:c>
      <x:c r="D18" s="13" t="n">
        <x:f>ROUND(C18-B18,2)</x:f>
        <x:v>120.95</x:v>
      </x:c>
    </x:row>
    <x:row r="19" ht="46" customHeight="1">
      <x:c r="A19" s="9" t="str">
        <x:v>406 E MADISON ST, MILLSTADT, IL 62260
Parcel 12-10.0-313-001</x:v>
      </x:c>
      <x:c r="B19" s="11" t="n">
        <x:v>10.07</x:v>
      </x:c>
      <x:c r="C19" s="11" t="n">
        <x:v>33.56</x:v>
      </x:c>
      <x:c r="D19" s="13" t="n">
        <x:f>ROUND(C19-B19,2)</x:f>
        <x:v>23.49</x:v>
      </x:c>
    </x:row>
    <x:row r="20" ht="46" customHeight="1">
      <x:c r="A20" s="14" t="str">
        <x:v>406 E MADISON ST, MILLSTADT, IL 62260
Parcel 12-10.0-313-002</x:v>
      </x:c>
      <x:c r="B20" s="15" t="n">
        <x:v>19</x:v>
      </x:c>
      <x:c r="C20" s="15" t="n">
        <x:v>63.35</x:v>
      </x:c>
      <x:c r="D20" s="13" t="n">
        <x:f>ROUND(C20-B20,2)</x:f>
        <x:v>44.35</x:v>
      </x:c>
    </x:row>
    <x:row r="21" ht="46" customHeight="1">
      <x:c r="A21" s="9" t="str">
        <x:v>420 E MADISON ST, MILLSTADT, IL 62260</x:v>
      </x:c>
      <x:c r="B21" s="11" t="n">
        <x:v>41.84</x:v>
      </x:c>
      <x:c r="C21" s="11" t="n">
        <x:v>139.48</x:v>
      </x:c>
      <x:c r="D21" s="13" t="n">
        <x:f>ROUND(C21-B21,2)</x:f>
        <x:v>97.64</x:v>
      </x:c>
    </x:row>
    <x:row r="22" ht="46" customHeight="1">
      <x:c r="A22" s="14" t="str">
        <x:v>506 E MADISON ST, MILLSTADT, IL 62260</x:v>
      </x:c>
      <x:c r="B22" s="15" t="n">
        <x:v>16.14</x:v>
      </x:c>
      <x:c r="C22" s="15" t="n">
        <x:v>53.79</x:v>
      </x:c>
      <x:c r="D22" s="13" t="n">
        <x:f>ROUND(C22-B22,2)</x:f>
        <x:v>37.65</x:v>
      </x:c>
    </x:row>
    <x:row r="23" ht="46" customHeight="1">
      <x:c r="A23" s="9" t="str">
        <x:v>512 E MADISON ST, MILLSTADT, IL 62260</x:v>
      </x:c>
      <x:c r="B23" s="11" t="n">
        <x:v>39.75</x:v>
      </x:c>
      <x:c r="C23" s="11" t="n">
        <x:v>132.52</x:v>
      </x:c>
      <x:c r="D23" s="13" t="n">
        <x:f>ROUND(C23-B23,2)</x:f>
        <x:v>92.77</x:v>
      </x:c>
    </x:row>
    <x:row r="24" ht="46" customHeight="1">
      <x:c r="A24" s="14" t="str">
        <x:v>516 E MADISON ST, MILLSTADT, IL 62260
Parcel 12-10.0-313-007</x:v>
      </x:c>
      <x:c r="B24" s="15" t="n">
        <x:v>64.25</x:v>
      </x:c>
      <x:c r="C24" s="15" t="n">
        <x:v>214.18</x:v>
      </x:c>
      <x:c r="D24" s="13" t="n">
        <x:f>ROUND(C24-B24,2)</x:f>
        <x:v>149.93</x:v>
      </x:c>
    </x:row>
    <x:row r="25" ht="46" customHeight="1">
      <x:c r="A25" s="9" t="str">
        <x:v>516 E MADISON ST, MILLSTADT, IL 62260
Parcel 12-10.0-313-008</x:v>
      </x:c>
      <x:c r="B25" s="11" t="n">
        <x:v>0.74</x:v>
      </x:c>
      <x:c r="C25" s="11" t="n">
        <x:v>2.48</x:v>
      </x:c>
      <x:c r="D25" s="13" t="n">
        <x:f>ROUND(C25-B25,2)</x:f>
        <x:v>1.74</x:v>
      </x:c>
    </x:row>
    <x:row r="26" ht="46" customHeight="1">
      <x:c r="A26" s="14" t="str">
        <x:v>600 E MADISON ST, MILLSTADT, IL 62260</x:v>
      </x:c>
      <x:c r="B26" s="15" t="n">
        <x:v>44.7</x:v>
      </x:c>
      <x:c r="C26" s="15" t="n">
        <x:v>148.99</x:v>
      </x:c>
      <x:c r="D26" s="13" t="n">
        <x:f>ROUND(C26-B26,2)</x:f>
        <x:v>104.29</x:v>
      </x:c>
    </x:row>
    <x:row r="27" ht="46" customHeight="1">
      <x:c r="A27" s="9" t="str">
        <x:v>720 E MADISON ST, MILLSTADT, IL 62260</x:v>
      </x:c>
      <x:c r="B27" s="11" t="n">
        <x:v>80.65</x:v>
      </x:c>
      <x:c r="C27" s="11" t="n">
        <x:v>268.85</x:v>
      </x:c>
      <x:c r="D27" s="13" t="n">
        <x:f>ROUND(C27-B27,2)</x:f>
        <x:v>188.2</x:v>
      </x:c>
    </x:row>
    <x:row r="28" ht="46" customHeight="1">
      <x:c r="A28" s="14" t="str">
        <x:v>730 E MADISON ST, MILLSTADT, IL 62260</x:v>
      </x:c>
      <x:c r="B28" s="15" t="n">
        <x:v>141.43</x:v>
      </x:c>
      <x:c r="C28" s="15" t="n">
        <x:v>471.44</x:v>
      </x:c>
      <x:c r="D28" s="13" t="n">
        <x:f>ROUND(C28-B28,2)</x:f>
        <x:v>330.01</x:v>
      </x:c>
    </x:row>
  </x:sheetData>
  <x:sheetProtection algorithmName="SHA-512" hashValue="4duQmXAjfmbF4KyCowfZuPfXQdPNlJkqq/+vB+gexL9fC9Iaq70AWpaSFxNLKBqf7KVpes4pwXz1swG+1hxdXw==" saltValue="PawslDC6Fz7j7ZDEcISUUw==" spinCount="100000" sheet="1" objects="1" scenarios="1"/>
  <x:pageMargins left="0.7" right="0.7" top="0.75" bottom="0.75" header="0.3" footer="0.3"/>
</x:worksheet>
</file>