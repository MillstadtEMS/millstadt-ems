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6979c72b94101" /></Relationships>
</file>

<file path=xl/workbook.xml><?xml version="1.0" encoding="utf-8"?>
<x:workbook xmlns:x="http://schemas.openxmlformats.org/spreadsheetml/2006/main">
  <x:workbookProtection workbookAlgorithmName="SHA-512" workbookHashValue="BuGjFPF3HcbSkjqlrV32O62+1fWAtxNE40eCHJzikkBTOsUcUSAtl97iM2Lw/KNRdP1jUvu9KLrHqlbluLYuMw==" workbookSaltValue="12N26ODrR8hei8MzkLjIjQ==" workbookSpinCount="100000" lockStructure="1"/>
  <x:sheets>
    <x:sheet xmlns:r="http://schemas.openxmlformats.org/officeDocument/2006/relationships" name="Annual EMS taxes" sheetId="1" r:id="R4deb829a9f57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c2bd06d3545fa" /><Relationship Type="http://schemas.openxmlformats.org/officeDocument/2006/relationships/theme" Target="/xl/theme/theme1.xml" Id="Re9f121b0a9884e19" /><Relationship Type="http://schemas.openxmlformats.org/officeDocument/2006/relationships/sharedStrings" Target="/xl/sharedStrings.xml" Id="R6b73701456b74187" /><Relationship Type="http://schemas.openxmlformats.org/officeDocument/2006/relationships/worksheet" Target="/xl/worksheets/sheet1.xml" Id="R4deb829a9f57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4320 BINGEN ST, MILLSTADT, IL 62260</x:v>
      </x:c>
      <x:c r="B7" s="11" t="n">
        <x:v>87.44</x:v>
      </x:c>
      <x:c r="C7" s="11" t="n">
        <x:v>291.46</x:v>
      </x:c>
      <x:c r="D7" s="13" t="n">
        <x:f>ROUND(C7-B7,2)</x:f>
        <x:v>204.02</x:v>
      </x:c>
    </x:row>
    <x:row r="8" ht="46" customHeight="1">
      <x:c r="A8" s="14" t="str">
        <x:v>4135 BUSS BRANCH RD, WATERLOO, IL 62298
Parcel 16-14.0-300-013</x:v>
      </x:c>
      <x:c r="B8" s="15" t="n">
        <x:v>0</x:v>
      </x:c>
      <x:c r="C8" s="15" t="n">
        <x:v>41.66</x:v>
      </x:c>
      <x:c r="D8" s="13" t="n">
        <x:f>ROUND(C8-B8,2)</x:f>
        <x:v>41.66</x:v>
      </x:c>
    </x:row>
    <x:row r="9" ht="46" customHeight="1">
      <x:c r="A9" s="9" t="str">
        <x:v>4135 BUSS BRANCH RD, WATERLOO, IL 62298
Parcel 16-14.0-300-014</x:v>
      </x:c>
      <x:c r="B9" s="11" t="n">
        <x:v>0</x:v>
      </x:c>
      <x:c r="C9" s="11" t="n">
        <x:v>527.06</x:v>
      </x:c>
      <x:c r="D9" s="13" t="n">
        <x:f>ROUND(C9-B9,2)</x:f>
        <x:v>527.06</x:v>
      </x:c>
    </x:row>
    <x:row r="10" ht="46" customHeight="1">
      <x:c r="A10" s="14" t="str">
        <x:v>4210 BUSS BRANCH RD, WATERLOO, IL 62298</x:v>
      </x:c>
      <x:c r="B10" s="15" t="n">
        <x:v>0</x:v>
      </x:c>
      <x:c r="C10" s="15" t="n">
        <x:v>26.95</x:v>
      </x:c>
      <x:c r="D10" s="13" t="n">
        <x:f>ROUND(C10-B10,2)</x:f>
        <x:v>26.95</x:v>
      </x:c>
    </x:row>
    <x:row r="11" ht="46" customHeight="1">
      <x:c r="A11" s="9" t="str">
        <x:v>4224 BUSS BRANCH RD, WATERLOO, IL 62298</x:v>
      </x:c>
      <x:c r="B11" s="11" t="n">
        <x:v>0</x:v>
      </x:c>
      <x:c r="C11" s="11" t="n">
        <x:v>393.72</x:v>
      </x:c>
      <x:c r="D11" s="13" t="n">
        <x:f>ROUND(C11-B11,2)</x:f>
        <x:v>393.72</x:v>
      </x:c>
    </x:row>
    <x:row r="12" ht="46" customHeight="1">
      <x:c r="A12" s="14" t="str">
        <x:v>4262 BUSS BRANCH RD, WATERLOO, IL 62298</x:v>
      </x:c>
      <x:c r="B12" s="15" t="n">
        <x:v>0</x:v>
      </x:c>
      <x:c r="C12" s="15" t="n">
        <x:v>117.02</x:v>
      </x:c>
      <x:c r="D12" s="13" t="n">
        <x:f>ROUND(C12-B12,2)</x:f>
        <x:v>117.02</x:v>
      </x:c>
    </x:row>
    <x:row r="13" ht="46" customHeight="1">
      <x:c r="A13" s="9" t="str">
        <x:v>6000 CART RD, MILLSTADT, IL 62260</x:v>
      </x:c>
      <x:c r="B13" s="11" t="n">
        <x:v>29.87</x:v>
      </x:c>
      <x:c r="C13" s="11" t="n">
        <x:v>99.56</x:v>
      </x:c>
      <x:c r="D13" s="13" t="n">
        <x:f>ROUND(C13-B13,2)</x:f>
        <x:v>69.69</x:v>
      </x:c>
    </x:row>
    <x:row r="14" ht="46" customHeight="1">
      <x:c r="A14" s="14" t="str">
        <x:v>1 EXECUTIVE DR, MILLSTADT, IL 62260</x:v>
      </x:c>
      <x:c r="B14" s="15" t="n">
        <x:v>139.68</x:v>
      </x:c>
      <x:c r="C14" s="15" t="n">
        <x:v>465.6</x:v>
      </x:c>
      <x:c r="D14" s="13" t="n">
        <x:f>ROUND(C14-B14,2)</x:f>
        <x:v>325.92</x:v>
      </x:c>
    </x:row>
    <x:row r="15" ht="46" customHeight="1">
      <x:c r="A15" s="9" t="str">
        <x:v>6 EXECUTIVE DR, MILLSTADT, IL 62260</x:v>
      </x:c>
      <x:c r="B15" s="11" t="n">
        <x:v>0</x:v>
      </x:c>
      <x:c r="C15" s="11" t="n">
        <x:v>0</x:v>
      </x:c>
      <x:c r="D15" s="13" t="n">
        <x:f>ROUND(C15-B15,2)</x:f>
        <x:v>0</x:v>
      </x:c>
    </x:row>
    <x:row r="16" ht="46" customHeight="1">
      <x:c r="A16" s="14" t="str">
        <x:v>4023 HAUDRICH RD, WATERLOO, IL 62298
Parcel 16-14.0-100-017</x:v>
      </x:c>
      <x:c r="B16" s="15" t="n">
        <x:v>0</x:v>
      </x:c>
      <x:c r="C16" s="15" t="n">
        <x:v>35.25</x:v>
      </x:c>
      <x:c r="D16" s="13" t="n">
        <x:f>ROUND(C16-B16,2)</x:f>
        <x:v>35.25</x:v>
      </x:c>
    </x:row>
    <x:row r="17" ht="46" customHeight="1">
      <x:c r="A17" s="9" t="str">
        <x:v>4023 HAUDRICH RD, WATERLOO, IL 62298
Parcel 16-14.0-100-018</x:v>
      </x:c>
      <x:c r="B17" s="11" t="n">
        <x:v>0</x:v>
      </x:c>
      <x:c r="C17" s="11" t="n">
        <x:v>317.76</x:v>
      </x:c>
      <x:c r="D17" s="13" t="n">
        <x:f>ROUND(C17-B17,2)</x:f>
        <x:v>317.76</x:v>
      </x:c>
    </x:row>
    <x:row r="18" ht="46" customHeight="1">
      <x:c r="A18" s="14" t="str">
        <x:v>4023 HAUDRICH RD, WATERLOO, IL 62298
Parcel 16-14.0-300-001</x:v>
      </x:c>
      <x:c r="B18" s="15" t="n">
        <x:v>0</x:v>
      </x:c>
      <x:c r="C18" s="15" t="n">
        <x:v>66.43</x:v>
      </x:c>
      <x:c r="D18" s="13" t="n">
        <x:f>ROUND(C18-B18,2)</x:f>
        <x:v>66.43</x:v>
      </x:c>
    </x:row>
    <x:row r="19" ht="46" customHeight="1">
      <x:c r="A19" s="9" t="str">
        <x:v>4060 HAUDRICH RD, WATERLOO, IL 62298</x:v>
      </x:c>
      <x:c r="B19" s="11" t="n">
        <x:v>0</x:v>
      </x:c>
      <x:c r="C19" s="11" t="n">
        <x:v>225.8</x:v>
      </x:c>
      <x:c r="D19" s="13" t="n">
        <x:f>ROUND(C19-B19,2)</x:f>
        <x:v>225.8</x:v>
      </x:c>
    </x:row>
    <x:row r="20" ht="46" customHeight="1">
      <x:c r="A20" s="14" t="str">
        <x:v>4082 HAUDRICH RD, WATERLOO, IL 62298</x:v>
      </x:c>
      <x:c r="B20" s="15" t="n">
        <x:v>0</x:v>
      </x:c>
      <x:c r="C20" s="15" t="n">
        <x:v>398.04</x:v>
      </x:c>
      <x:c r="D20" s="13" t="n">
        <x:f>ROUND(C20-B20,2)</x:f>
        <x:v>398.04</x:v>
      </x:c>
    </x:row>
    <x:row r="21" ht="46" customHeight="1">
      <x:c r="A21" s="9" t="str">
        <x:v>4109 HAUDRICH RD, WATERLOO, IL 62298</x:v>
      </x:c>
      <x:c r="B21" s="11" t="n">
        <x:v>0</x:v>
      </x:c>
      <x:c r="C21" s="11" t="n">
        <x:v>553.56</x:v>
      </x:c>
      <x:c r="D21" s="13" t="n">
        <x:f>ROUND(C21-B21,2)</x:f>
        <x:v>553.56</x:v>
      </x:c>
    </x:row>
    <x:row r="22" ht="46" customHeight="1">
      <x:c r="A22" s="14" t="str">
        <x:v>4158 HAUDRICH RD, WATERLOO, IL 62298</x:v>
      </x:c>
      <x:c r="B22" s="15" t="n">
        <x:v>0</x:v>
      </x:c>
      <x:c r="C22" s="15" t="n">
        <x:v>190.9</x:v>
      </x:c>
      <x:c r="D22" s="13" t="n">
        <x:f>ROUND(C22-B22,2)</x:f>
        <x:v>190.9</x:v>
      </x:c>
    </x:row>
    <x:row r="23" ht="46" customHeight="1">
      <x:c r="A23" s="9" t="str">
        <x:v>4205 HAUDRICH RD, WATERLOO, IL 62298</x:v>
      </x:c>
      <x:c r="B23" s="11" t="n">
        <x:v>0</x:v>
      </x:c>
      <x:c r="C23" s="11" t="n">
        <x:v>131.37</x:v>
      </x:c>
      <x:c r="D23" s="13" t="n">
        <x:f>ROUND(C23-B23,2)</x:f>
        <x:v>131.37</x:v>
      </x:c>
    </x:row>
    <x:row r="24" ht="46" customHeight="1">
      <x:c r="A24" s="14" t="str">
        <x:v>4235 HAUDRICH RD, WATERLOO, IL 62298</x:v>
      </x:c>
      <x:c r="B24" s="15" t="n">
        <x:v>0</x:v>
      </x:c>
      <x:c r="C24" s="15" t="n">
        <x:v>292.26</x:v>
      </x:c>
      <x:c r="D24" s="13" t="n">
        <x:f>ROUND(C24-B24,2)</x:f>
        <x:v>292.26</x:v>
      </x:c>
    </x:row>
    <x:row r="25" ht="46" customHeight="1">
      <x:c r="A25" s="9" t="str">
        <x:v>4236 HAUDRICH RD, WATERLOO, IL 62298</x:v>
      </x:c>
      <x:c r="B25" s="11" t="n">
        <x:v>0</x:v>
      </x:c>
      <x:c r="C25" s="11" t="n">
        <x:v>362.52</x:v>
      </x:c>
      <x:c r="D25" s="13" t="n">
        <x:f>ROUND(C25-B25,2)</x:f>
        <x:v>362.52</x:v>
      </x:c>
    </x:row>
    <x:row r="26" ht="46" customHeight="1">
      <x:c r="A26" s="14" t="str">
        <x:v>3991 HOFFMAN RD, WATERLOO, IL 62298</x:v>
      </x:c>
      <x:c r="B26" s="15" t="n">
        <x:v>0</x:v>
      </x:c>
      <x:c r="C26" s="15" t="n">
        <x:v>339.59</x:v>
      </x:c>
      <x:c r="D26" s="13" t="n">
        <x:f>ROUND(C26-B26,2)</x:f>
        <x:v>339.59</x:v>
      </x:c>
    </x:row>
    <x:row r="27" ht="46" customHeight="1">
      <x:c r="A27" s="9" t="str">
        <x:v>3839 HOFFMANN RD, WATERLOO, IL 62298</x:v>
      </x:c>
      <x:c r="B27" s="11" t="n">
        <x:v>0</x:v>
      </x:c>
      <x:c r="C27" s="11" t="n">
        <x:v>148.89</x:v>
      </x:c>
      <x:c r="D27" s="13" t="n">
        <x:f>ROUND(C27-B27,2)</x:f>
        <x:v>148.89</x:v>
      </x:c>
    </x:row>
    <x:row r="28" ht="46" customHeight="1">
      <x:c r="A28" s="14" t="str">
        <x:v>3927 HOFFMANN RD, WATERLOO, IL 62298
Parcel 16-14.0-200-013</x:v>
      </x:c>
      <x:c r="B28" s="15" t="n">
        <x:v>0</x:v>
      </x:c>
      <x:c r="C28" s="15" t="n">
        <x:v>302.63</x:v>
      </x:c>
      <x:c r="D28" s="13" t="n">
        <x:f>ROUND(C28-B28,2)</x:f>
        <x:v>302.63</x:v>
      </x:c>
    </x:row>
    <x:row r="29" ht="46" customHeight="1">
      <x:c r="A29" s="9" t="str">
        <x:v>3927 HOFFMANN RD, WATERLOO, IL 62298
Parcel 16-14.0-200-014</x:v>
      </x:c>
      <x:c r="B29" s="11" t="n">
        <x:v>0</x:v>
      </x:c>
      <x:c r="C29" s="11" t="n">
        <x:v>13.5</x:v>
      </x:c>
      <x:c r="D29" s="13" t="n">
        <x:f>ROUND(C29-B29,2)</x:f>
        <x:v>13.5</x:v>
      </x:c>
    </x:row>
    <x:row r="30" ht="46" customHeight="1">
      <x:c r="A30" s="14" t="str">
        <x:v>6335 KASKASKIA RD, MILLSTADT, IL 62260</x:v>
      </x:c>
      <x:c r="B30" s="15" t="n">
        <x:v>10.96</x:v>
      </x:c>
      <x:c r="C30" s="15" t="n">
        <x:v>36.53</x:v>
      </x:c>
      <x:c r="D30" s="13" t="n">
        <x:f>ROUND(C30-B30,2)</x:f>
        <x:v>25.57</x:v>
      </x:c>
    </x:row>
    <x:row r="31" ht="46" customHeight="1">
      <x:c r="A31" s="9" t="str">
        <x:v>6360 KASKASKIA RD, MILLSTADT, IL 62260</x:v>
      </x:c>
      <x:c r="B31" s="11" t="n">
        <x:v>74.3</x:v>
      </x:c>
      <x:c r="C31" s="11" t="n">
        <x:v>247.65</x:v>
      </x:c>
      <x:c r="D31" s="13" t="n">
        <x:f>ROUND(C31-B31,2)</x:f>
        <x:v>173.35</x:v>
      </x:c>
    </x:row>
    <x:row r="32" ht="46" customHeight="1">
      <x:c r="A32" s="14" t="str">
        <x:v>6370 KASKASKIA RD, MILLSTADT, IL 62260</x:v>
      </x:c>
      <x:c r="B32" s="15" t="n">
        <x:v>113.05</x:v>
      </x:c>
      <x:c r="C32" s="15" t="n">
        <x:v>376.84</x:v>
      </x:c>
      <x:c r="D32" s="13" t="n">
        <x:f>ROUND(C32-B32,2)</x:f>
        <x:v>263.79</x:v>
      </x:c>
    </x:row>
    <x:row r="33" ht="46" customHeight="1">
      <x:c r="A33" s="9" t="str">
        <x:v>6403 KASKASKIA RD, MILLSTADT, IL 62260</x:v>
      </x:c>
      <x:c r="B33" s="11" t="n">
        <x:v>98.74</x:v>
      </x:c>
      <x:c r="C33" s="11" t="n">
        <x:v>329.13</x:v>
      </x:c>
      <x:c r="D33" s="13" t="n">
        <x:f>ROUND(C33-B33,2)</x:f>
        <x:v>230.39</x:v>
      </x:c>
    </x:row>
    <x:row r="34" ht="46" customHeight="1">
      <x:c r="A34" s="14" t="str">
        <x:v>6421 KASKASKIA RD, MILLSTADT, IL 62260</x:v>
      </x:c>
      <x:c r="B34" s="15" t="n">
        <x:v>67.32</x:v>
      </x:c>
      <x:c r="C34" s="15" t="n">
        <x:v>224.39</x:v>
      </x:c>
      <x:c r="D34" s="13" t="n">
        <x:f>ROUND(C34-B34,2)</x:f>
        <x:v>157.07</x:v>
      </x:c>
    </x:row>
    <x:row r="35" ht="46" customHeight="1">
      <x:c r="A35" s="9" t="str">
        <x:v>6435 KASKASKIA RD, MILLSTADT, IL 62260</x:v>
      </x:c>
      <x:c r="B35" s="11" t="n">
        <x:v>20.86</x:v>
      </x:c>
      <x:c r="C35" s="11" t="n">
        <x:v>69.53</x:v>
      </x:c>
      <x:c r="D35" s="13" t="n">
        <x:f>ROUND(C35-B35,2)</x:f>
        <x:v>48.67</x:v>
      </x:c>
    </x:row>
    <x:row r="36" ht="46" customHeight="1">
      <x:c r="A36" s="14" t="str">
        <x:v>6450 KASKASKIA RD, MILLSTADT, IL 62260</x:v>
      </x:c>
      <x:c r="B36" s="15" t="n">
        <x:v>94.28</x:v>
      </x:c>
      <x:c r="C36" s="15" t="n">
        <x:v>314.28</x:v>
      </x:c>
      <x:c r="D36" s="13" t="n">
        <x:f>ROUND(C36-B36,2)</x:f>
        <x:v>220</x:v>
      </x:c>
    </x:row>
    <x:row r="37" ht="46" customHeight="1">
      <x:c r="A37" s="9" t="str">
        <x:v>6451 KASKASKIA RD, MILLSTADT, IL 62260</x:v>
      </x:c>
      <x:c r="B37" s="11" t="n">
        <x:v>96.69</x:v>
      </x:c>
      <x:c r="C37" s="11" t="n">
        <x:v>322.31</x:v>
      </x:c>
      <x:c r="D37" s="13" t="n">
        <x:f>ROUND(C37-B37,2)</x:f>
        <x:v>225.62</x:v>
      </x:c>
    </x:row>
    <x:row r="38" ht="46" customHeight="1">
      <x:c r="A38" s="14" t="str">
        <x:v>6459 KASKASKIA RD, MILLSTADT, IL 62260</x:v>
      </x:c>
      <x:c r="B38" s="15" t="n">
        <x:v>25.17</x:v>
      </x:c>
      <x:c r="C38" s="15" t="n">
        <x:v>83.91</x:v>
      </x:c>
      <x:c r="D38" s="13" t="n">
        <x:f>ROUND(C38-B38,2)</x:f>
        <x:v>58.74</x:v>
      </x:c>
    </x:row>
    <x:row r="39" ht="46" customHeight="1">
      <x:c r="A39" s="9" t="str">
        <x:v>6101 MATHEWS LN, MILLSTADT, IL 62260</x:v>
      </x:c>
      <x:c r="B39" s="11" t="n">
        <x:v>224.71</x:v>
      </x:c>
      <x:c r="C39" s="11" t="n">
        <x:v>749.04</x:v>
      </x:c>
      <x:c r="D39" s="13" t="n">
        <x:f>ROUND(C39-B39,2)</x:f>
        <x:v>524.33</x:v>
      </x:c>
    </x:row>
    <x:row r="40" ht="46" customHeight="1">
      <x:c r="A40" s="14" t="str">
        <x:v>6105 MATHEWS LN, MILLSTADT, IL 62260</x:v>
      </x:c>
      <x:c r="B40" s="15" t="n">
        <x:v>66.53</x:v>
      </x:c>
      <x:c r="C40" s="15" t="n">
        <x:v>221.78</x:v>
      </x:c>
      <x:c r="D40" s="13" t="n">
        <x:f>ROUND(C40-B40,2)</x:f>
        <x:v>155.25</x:v>
      </x:c>
    </x:row>
    <x:row r="41" ht="46" customHeight="1">
      <x:c r="A41" s="9" t="str">
        <x:v>6117 MATHEWS LN, MILLSTADT, IL 62260</x:v>
      </x:c>
      <x:c r="B41" s="11" t="n">
        <x:v>2.38</x:v>
      </x:c>
      <x:c r="C41" s="11" t="n">
        <x:v>7.92</x:v>
      </x:c>
      <x:c r="D41" s="13" t="n">
        <x:f>ROUND(C41-B41,2)</x:f>
        <x:v>5.54</x:v>
      </x:c>
    </x:row>
    <x:row r="42" ht="46" customHeight="1">
      <x:c r="A42" s="14" t="str">
        <x:v>4000 OLD URBANA RD, MILLSTADT, IL 62260</x:v>
      </x:c>
      <x:c r="B42" s="15" t="n">
        <x:v>87.49</x:v>
      </x:c>
      <x:c r="C42" s="15" t="n">
        <x:v>291.65</x:v>
      </x:c>
      <x:c r="D42" s="13" t="n">
        <x:f>ROUND(C42-B42,2)</x:f>
        <x:v>204.16</x:v>
      </x:c>
    </x:row>
    <x:row r="43" ht="46" customHeight="1">
      <x:c r="A43" s="9" t="str">
        <x:v>4033 OLD URBANA RD, MILLSTADT, IL 62260</x:v>
      </x:c>
      <x:c r="B43" s="11" t="n">
        <x:v>79.92</x:v>
      </x:c>
      <x:c r="C43" s="11" t="n">
        <x:v>266.39</x:v>
      </x:c>
      <x:c r="D43" s="13" t="n">
        <x:f>ROUND(C43-B43,2)</x:f>
        <x:v>186.47</x:v>
      </x:c>
    </x:row>
    <x:row r="44" ht="46" customHeight="1">
      <x:c r="A44" s="14" t="str">
        <x:v>4048 OLD URBANA RD, MILLSTADT, IL 62260</x:v>
      </x:c>
      <x:c r="B44" s="15" t="n">
        <x:v>58.85</x:v>
      </x:c>
      <x:c r="C44" s="15" t="n">
        <x:v>196.16</x:v>
      </x:c>
      <x:c r="D44" s="13" t="n">
        <x:f>ROUND(C44-B44,2)</x:f>
        <x:v>137.31</x:v>
      </x:c>
    </x:row>
    <x:row r="45" ht="46" customHeight="1">
      <x:c r="A45" s="9" t="str">
        <x:v>4123 OLD URBANA RD, MILLSTADT, IL 62260</x:v>
      </x:c>
      <x:c r="B45" s="11" t="n">
        <x:v>99.25</x:v>
      </x:c>
      <x:c r="C45" s="11" t="n">
        <x:v>330.84</x:v>
      </x:c>
      <x:c r="D45" s="13" t="n">
        <x:f>ROUND(C45-B45,2)</x:f>
        <x:v>231.59</x:v>
      </x:c>
    </x:row>
    <x:row r="46" ht="46" customHeight="1">
      <x:c r="A46" s="14" t="str">
        <x:v>4122 URBANA RD, MILLSTADT, IL 62260</x:v>
      </x:c>
      <x:c r="B46" s="15" t="n">
        <x:v>45.22</x:v>
      </x:c>
      <x:c r="C46" s="15" t="n">
        <x:v>150.73</x:v>
      </x:c>
      <x:c r="D46" s="13" t="n">
        <x:f>ROUND(C46-B46,2)</x:f>
        <x:v>105.51</x:v>
      </x:c>
    </x:row>
    <x:row r="47" ht="46" customHeight="1">
      <x:c r="A47" s="9" t="str">
        <x:v>4187 URBANA RD, MILLSTADT, IL 62260</x:v>
      </x:c>
      <x:c r="B47" s="11" t="n">
        <x:v>218.99</x:v>
      </x:c>
      <x:c r="C47" s="11" t="n">
        <x:v>729.96</x:v>
      </x:c>
      <x:c r="D47" s="13" t="n">
        <x:f>ROUND(C47-B47,2)</x:f>
        <x:v>510.97</x:v>
      </x:c>
    </x:row>
    <x:row r="48" ht="46" customHeight="1">
      <x:c r="A48" s="14" t="str">
        <x:v>4211 URBANA RD, MILLSTADT, IL 62260</x:v>
      </x:c>
      <x:c r="B48" s="15" t="n">
        <x:v>86.29</x:v>
      </x:c>
      <x:c r="C48" s="15" t="n">
        <x:v>287.62</x:v>
      </x:c>
      <x:c r="D48" s="13" t="n">
        <x:f>ROUND(C48-B48,2)</x:f>
        <x:v>201.33</x:v>
      </x:c>
    </x:row>
    <x:row r="49" ht="46" customHeight="1">
      <x:c r="A49" s="9" t="str">
        <x:v>4259 URBANA RD, MILLSTADT, IL 62260</x:v>
      </x:c>
      <x:c r="B49" s="11" t="n">
        <x:v>122.73</x:v>
      </x:c>
      <x:c r="C49" s="11" t="n">
        <x:v>409.1</x:v>
      </x:c>
      <x:c r="D49" s="13" t="n">
        <x:f>ROUND(C49-B49,2)</x:f>
        <x:v>286.37</x:v>
      </x:c>
    </x:row>
    <x:row r="50" ht="46" customHeight="1">
      <x:c r="A50" s="14" t="str">
        <x:v>4316 URBANA RD, MILLSTADT, IL 62260
Parcel 12-14.0-400-015</x:v>
      </x:c>
      <x:c r="B50" s="15" t="n">
        <x:v>11.94</x:v>
      </x:c>
      <x:c r="C50" s="15" t="n">
        <x:v>39.79</x:v>
      </x:c>
      <x:c r="D50" s="13" t="n">
        <x:f>ROUND(C50-B50,2)</x:f>
        <x:v>27.85</x:v>
      </x:c>
    </x:row>
    <x:row r="51" ht="46" customHeight="1">
      <x:c r="A51" s="9" t="str">
        <x:v>4316 URBANA RD, MILLSTADT, IL 62260
Parcel 12-14.0-400-017</x:v>
      </x:c>
      <x:c r="B51" s="11" t="n">
        <x:v>27.93</x:v>
      </x:c>
      <x:c r="C51" s="11" t="n">
        <x:v>93.11</x:v>
      </x:c>
      <x:c r="D51" s="13" t="n">
        <x:f>ROUND(C51-B51,2)</x:f>
        <x:v>65.18</x:v>
      </x:c>
    </x:row>
    <x:row r="52" ht="46" customHeight="1">
      <x:c r="A52" s="14" t="str">
        <x:v>4316 URBANA RD, MILLSTADT, IL 62260
Parcel 12-14.0-400-018</x:v>
      </x:c>
      <x:c r="B52" s="15" t="n">
        <x:v>99.05</x:v>
      </x:c>
      <x:c r="C52" s="15" t="n">
        <x:v>330.18</x:v>
      </x:c>
      <x:c r="D52" s="13" t="n">
        <x:f>ROUND(C52-B52,2)</x:f>
        <x:v>231.13</x:v>
      </x:c>
    </x:row>
    <x:row r="53" ht="46" customHeight="1">
      <x:c r="A53" s="9" t="str">
        <x:v>4344 URBANA RD, MILLSTADT, IL 62260
Parcel 12-14.0-400-020</x:v>
      </x:c>
      <x:c r="B53" s="11" t="n">
        <x:v>60.99</x:v>
      </x:c>
      <x:c r="C53" s="11" t="n">
        <x:v>203.3</x:v>
      </x:c>
      <x:c r="D53" s="13" t="n">
        <x:f>ROUND(C53-B53,2)</x:f>
        <x:v>142.31</x:v>
      </x:c>
    </x:row>
    <x:row r="54" ht="46" customHeight="1">
      <x:c r="A54" s="14" t="str">
        <x:v>4434 URBANA RD, MILLSTADT, IL 62260
Parcel 12-14.0-400-022</x:v>
      </x:c>
      <x:c r="B54" s="15" t="n">
        <x:v>55.67</x:v>
      </x:c>
      <x:c r="C54" s="15" t="n">
        <x:v>185.55</x:v>
      </x:c>
      <x:c r="D54" s="13" t="n">
        <x:f>ROUND(C54-B54,2)</x:f>
        <x:v>129.88</x:v>
      </x:c>
    </x:row>
    <x:row r="55" ht="46" customHeight="1">
      <x:c r="A55" s="9" t="str">
        <x:v>4058 WATERLOO RD, WATERLOO, IL 62298</x:v>
      </x:c>
      <x:c r="B55" s="11" t="n">
        <x:v>0</x:v>
      </x:c>
      <x:c r="C55" s="11" t="n">
        <x:v>285.44</x:v>
      </x:c>
      <x:c r="D55" s="13" t="n">
        <x:f>ROUND(C55-B55,2)</x:f>
        <x:v>285.44</x:v>
      </x:c>
    </x:row>
  </x:sheetData>
  <x:sheetProtection algorithmName="SHA-512" hashValue="BuGjFPF3HcbSkjqlrV32O62+1fWAtxNE40eCHJzikkBTOsUcUSAtl97iM2Lw/KNRdP1jUvu9KLrHqlbluLYuMw==" saltValue="12N26ODrR8hei8MzkLjIjQ==" spinCount="100000" sheet="1" objects="1" scenarios="1"/>
  <x:pageMargins left="0.7" right="0.7" top="0.75" bottom="0.75" header="0.3" footer="0.3"/>
</x:worksheet>
</file>