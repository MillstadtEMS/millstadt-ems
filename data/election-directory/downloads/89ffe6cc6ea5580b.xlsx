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9ea3facf64d51" /></Relationships>
</file>

<file path=xl/workbook.xml><?xml version="1.0" encoding="utf-8"?>
<x:workbook xmlns:x="http://schemas.openxmlformats.org/spreadsheetml/2006/main">
  <x:workbookProtection workbookAlgorithmName="SHA-512" workbookHashValue="VBD0FZQYzgVw8xro4u5rf6abwpbYODVOf2NyE2aRKI0vO6wHLuweGa9/6DLWt2mATGwUr3EoZFc8K7XZBBMEMQ==" workbookSaltValue="g2ytENOKUbSWfvevUE8eRA==" workbookSpinCount="100000" lockStructure="1"/>
  <x:sheets>
    <x:sheet xmlns:r="http://schemas.openxmlformats.org/officeDocument/2006/relationships" name="Annual EMS taxes" sheetId="1" r:id="Rea4e10263e884f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43ad4c96f4e5f" /><Relationship Type="http://schemas.openxmlformats.org/officeDocument/2006/relationships/theme" Target="/xl/theme/theme1.xml" Id="Re1f5f02cdd034e92" /><Relationship Type="http://schemas.openxmlformats.org/officeDocument/2006/relationships/sharedStrings" Target="/xl/sharedStrings.xml" Id="R1b6464d0673e4b98" /><Relationship Type="http://schemas.openxmlformats.org/officeDocument/2006/relationships/worksheet" Target="/xl/worksheets/sheet1.xml" Id="Rea4e10263e884f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20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2962 DOUGLAS RD, MILLSTADT, IL 62260</x:v>
      </x:c>
      <x:c r="B7" s="11" t="n">
        <x:v>2.14</x:v>
      </x:c>
      <x:c r="C7" s="11" t="n">
        <x:v>7.12</x:v>
      </x:c>
      <x:c r="D7" s="13" t="n">
        <x:f>ROUND(C7-B7,2)</x:f>
        <x:v>4.98</x:v>
      </x:c>
    </x:row>
    <x:row r="8" ht="46" customHeight="1">
      <x:c r="A8" s="14" t="str">
        <x:v>3000 DOUGLAS RD, MILLSTADT, IL 62260</x:v>
      </x:c>
      <x:c r="B8" s="15" t="n">
        <x:v>44.73</x:v>
      </x:c>
      <x:c r="C8" s="15" t="n">
        <x:v>149.1</x:v>
      </x:c>
      <x:c r="D8" s="13" t="n">
        <x:f>ROUND(C8-B8,2)</x:f>
        <x:v>104.37</x:v>
      </x:c>
    </x:row>
    <x:row r="9" ht="46" customHeight="1">
      <x:c r="A9" s="9" t="str">
        <x:v>3104 DOUGLAS RD, MILLSTADT, IL 62260</x:v>
      </x:c>
      <x:c r="B9" s="11" t="n">
        <x:v>40.46</x:v>
      </x:c>
      <x:c r="C9" s="11" t="n">
        <x:v>134.87</x:v>
      </x:c>
      <x:c r="D9" s="13" t="n">
        <x:f>ROUND(C9-B9,2)</x:f>
        <x:v>94.41</x:v>
      </x:c>
    </x:row>
    <x:row r="10" ht="46" customHeight="1">
      <x:c r="A10" s="14" t="str">
        <x:v>3116 DOUGLAS RD, MILLSTADT, IL 62260</x:v>
      </x:c>
      <x:c r="B10" s="15" t="n">
        <x:v>73.56</x:v>
      </x:c>
      <x:c r="C10" s="15" t="n">
        <x:v>245.21</x:v>
      </x:c>
      <x:c r="D10" s="13" t="n">
        <x:f>ROUND(C10-B10,2)</x:f>
        <x:v>171.65</x:v>
      </x:c>
    </x:row>
    <x:row r="11" ht="46" customHeight="1">
      <x:c r="A11" s="9" t="str">
        <x:v>3120 DOUGLAS RD, MILLSTADT, IL 62260</x:v>
      </x:c>
      <x:c r="B11" s="11" t="n">
        <x:v>65.89</x:v>
      </x:c>
      <x:c r="C11" s="11" t="n">
        <x:v>219.65</x:v>
      </x:c>
      <x:c r="D11" s="13" t="n">
        <x:f>ROUND(C11-B11,2)</x:f>
        <x:v>153.76</x:v>
      </x:c>
    </x:row>
    <x:row r="12" ht="46" customHeight="1">
      <x:c r="A12" s="14" t="str">
        <x:v>5924 FUSSNER LN, MILLSTADT, IL 62260</x:v>
      </x:c>
      <x:c r="B12" s="15" t="n">
        <x:v>26.69</x:v>
      </x:c>
      <x:c r="C12" s="15" t="n">
        <x:v>88.96</x:v>
      </x:c>
      <x:c r="D12" s="13" t="n">
        <x:f>ROUND(C12-B12,2)</x:f>
        <x:v>62.27</x:v>
      </x:c>
    </x:row>
    <x:row r="13" ht="46" customHeight="1">
      <x:c r="A13" s="9" t="str">
        <x:v>5928 FUSSNER LN, MILLSTADT, IL 62260</x:v>
      </x:c>
      <x:c r="B13" s="11" t="n">
        <x:v>27.6</x:v>
      </x:c>
      <x:c r="C13" s="11" t="n">
        <x:v>92</x:v>
      </x:c>
      <x:c r="D13" s="13" t="n">
        <x:f>ROUND(C13-B13,2)</x:f>
        <x:v>64.4</x:v>
      </x:c>
    </x:row>
    <x:row r="14" ht="46" customHeight="1">
      <x:c r="A14" s="14" t="str">
        <x:v>3104 NOLLMAN RD, MILLSTADT, IL 62260</x:v>
      </x:c>
      <x:c r="B14" s="15" t="n">
        <x:v>89.8</x:v>
      </x:c>
      <x:c r="C14" s="15" t="n">
        <x:v>299.34</x:v>
      </x:c>
      <x:c r="D14" s="13" t="n">
        <x:f>ROUND(C14-B14,2)</x:f>
        <x:v>209.54</x:v>
      </x:c>
    </x:row>
    <x:row r="15" ht="46" customHeight="1">
      <x:c r="A15" s="9" t="str">
        <x:v>3100 NOLLMANN RD, MILLSTADT, IL 62260</x:v>
      </x:c>
      <x:c r="B15" s="11" t="n">
        <x:v>19.89</x:v>
      </x:c>
      <x:c r="C15" s="11" t="n">
        <x:v>66.31</x:v>
      </x:c>
      <x:c r="D15" s="13" t="n">
        <x:f>ROUND(C15-B15,2)</x:f>
        <x:v>46.42</x:v>
      </x:c>
    </x:row>
    <x:row r="16" ht="46" customHeight="1">
      <x:c r="A16" s="14" t="str">
        <x:v>3147 NOLLMANN RD, MILLSTADT, IL 62260</x:v>
      </x:c>
      <x:c r="B16" s="15" t="n">
        <x:v>53.71</x:v>
      </x:c>
      <x:c r="C16" s="15" t="n">
        <x:v>179.04</x:v>
      </x:c>
      <x:c r="D16" s="13" t="n">
        <x:f>ROUND(C16-B16,2)</x:f>
        <x:v>125.33</x:v>
      </x:c>
    </x:row>
    <x:row r="17" ht="46" customHeight="1">
      <x:c r="A17" s="9" t="str">
        <x:v>5572 ROENICKE RD, MILLSTADT, IL 62260</x:v>
      </x:c>
      <x:c r="B17" s="11" t="n">
        <x:v>75.38</x:v>
      </x:c>
      <x:c r="C17" s="11" t="n">
        <x:v>251.27</x:v>
      </x:c>
      <x:c r="D17" s="13" t="n">
        <x:f>ROUND(C17-B17,2)</x:f>
        <x:v>175.89</x:v>
      </x:c>
    </x:row>
    <x:row r="18" ht="46" customHeight="1">
      <x:c r="A18" s="14" t="str">
        <x:v>5615 ROENICKE RD, MILLSTADT, IL 62260</x:v>
      </x:c>
      <x:c r="B18" s="15" t="n">
        <x:v>71.91</x:v>
      </x:c>
      <x:c r="C18" s="15" t="n">
        <x:v>239.71</x:v>
      </x:c>
      <x:c r="D18" s="13" t="n">
        <x:f>ROUND(C18-B18,2)</x:f>
        <x:v>167.8</x:v>
      </x:c>
    </x:row>
    <x:row r="19" ht="46" customHeight="1">
      <x:c r="A19" s="9" t="str">
        <x:v>5619 ROENICKE RD, MILLSTADT, IL 62260</x:v>
      </x:c>
      <x:c r="B19" s="11" t="n">
        <x:v>3.56</x:v>
      </x:c>
      <x:c r="C19" s="11" t="n">
        <x:v>11.86</x:v>
      </x:c>
      <x:c r="D19" s="13" t="n">
        <x:f>ROUND(C19-B19,2)</x:f>
        <x:v>8.3</x:v>
      </x:c>
    </x:row>
    <x:row r="20" ht="46" customHeight="1">
      <x:c r="A20" s="14" t="str">
        <x:v>5802 ROENICKE RD, MILLSTADT, IL 62260</x:v>
      </x:c>
      <x:c r="B20" s="15" t="n">
        <x:v>42.25</x:v>
      </x:c>
      <x:c r="C20" s="15" t="n">
        <x:v>140.85</x:v>
      </x:c>
      <x:c r="D20" s="13" t="n">
        <x:f>ROUND(C20-B20,2)</x:f>
        <x:v>98.6</x:v>
      </x:c>
    </x:row>
    <x:row r="21" ht="46" customHeight="1">
      <x:c r="A21" s="9" t="str">
        <x:v>5814 ROENICKE RD, MILLSTADT, IL 62260</x:v>
      </x:c>
      <x:c r="B21" s="11" t="n">
        <x:v>44.96</x:v>
      </x:c>
      <x:c r="C21" s="11" t="n">
        <x:v>149.86</x:v>
      </x:c>
      <x:c r="D21" s="13" t="n">
        <x:f>ROUND(C21-B21,2)</x:f>
        <x:v>104.9</x:v>
      </x:c>
    </x:row>
    <x:row r="22" ht="46" customHeight="1">
      <x:c r="A22" s="14" t="str">
        <x:v>5743 SUNFLOWER LN, MILLSTADT, IL 62260</x:v>
      </x:c>
      <x:c r="B22" s="15" t="n">
        <x:v>50.91</x:v>
      </x:c>
      <x:c r="C22" s="15" t="n">
        <x:v>169.7</x:v>
      </x:c>
      <x:c r="D22" s="13" t="n">
        <x:f>ROUND(C22-B22,2)</x:f>
        <x:v>118.79</x:v>
      </x:c>
    </x:row>
    <x:row r="23" ht="46" customHeight="1">
      <x:c r="A23" s="9" t="str">
        <x:v>5779 SUNFLOWER LN, MILLSTADT, IL 62260</x:v>
      </x:c>
      <x:c r="B23" s="11" t="n">
        <x:v>63.79</x:v>
      </x:c>
      <x:c r="C23" s="11" t="n">
        <x:v>212.63</x:v>
      </x:c>
      <x:c r="D23" s="13" t="n">
        <x:f>ROUND(C23-B23,2)</x:f>
        <x:v>148.84</x:v>
      </x:c>
    </x:row>
    <x:row r="24" ht="46" customHeight="1">
      <x:c r="A24" s="14" t="str">
        <x:v>5860 SUNFLOWER LN, MILLSTADT, IL 62260</x:v>
      </x:c>
      <x:c r="B24" s="15" t="n">
        <x:v>43.54</x:v>
      </x:c>
      <x:c r="C24" s="15" t="n">
        <x:v>145.14</x:v>
      </x:c>
      <x:c r="D24" s="13" t="n">
        <x:f>ROUND(C24-B24,2)</x:f>
        <x:v>101.6</x:v>
      </x:c>
    </x:row>
  </x:sheetData>
  <x:sheetProtection algorithmName="SHA-512" hashValue="VBD0FZQYzgVw8xro4u5rf6abwpbYODVOf2NyE2aRKI0vO6wHLuweGa9/6DLWt2mATGwUr3EoZFc8K7XZBBMEMQ==" saltValue="g2ytENOKUbSWfvevUE8eRA==" spinCount="100000" sheet="1" objects="1" scenarios="1"/>
  <x:pageMargins left="0.7" right="0.7" top="0.75" bottom="0.75" header="0.3" footer="0.3"/>
</x:worksheet>
</file>