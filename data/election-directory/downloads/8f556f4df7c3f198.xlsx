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46e0d29034eaa" /></Relationships>
</file>

<file path=xl/workbook.xml><?xml version="1.0" encoding="utf-8"?>
<x:workbook xmlns:x="http://schemas.openxmlformats.org/spreadsheetml/2006/main">
  <x:workbookProtection workbookAlgorithmName="SHA-512" workbookHashValue="H5pQyd7jzRB7fsU79p1IBXRGXeE/IK0/ClULaBOBGpkjCQbuUIN/hHzKhNYsEcySMlVxIyuu+48XAdCSKyJEBA==" workbookSaltValue="4iGFoiRtyEbYIZGjF6Ywbg==" workbookSpinCount="100000" lockStructure="1"/>
  <x:sheets>
    <x:sheet xmlns:r="http://schemas.openxmlformats.org/officeDocument/2006/relationships" name="Annual EMS taxes" sheetId="1" r:id="R0a192cb2bf01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b1ae28fa04234" /><Relationship Type="http://schemas.openxmlformats.org/officeDocument/2006/relationships/theme" Target="/xl/theme/theme1.xml" Id="R5d5aaf5580c345cb" /><Relationship Type="http://schemas.openxmlformats.org/officeDocument/2006/relationships/sharedStrings" Target="/xl/sharedStrings.xml" Id="R36db8f9a18f8488c" /><Relationship Type="http://schemas.openxmlformats.org/officeDocument/2006/relationships/worksheet" Target="/xl/worksheets/sheet1.xml" Id="R0a192cb2bf0145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KOPPS; JOSEPH; ADD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14 E ADAMS ST, MILLSTADT, IL 62260</x:v>
      </x:c>
      <x:c r="B7" s="11" t="n">
        <x:v>46.9</x:v>
      </x:c>
      <x:c r="C7" s="11" t="n">
        <x:v>156.34</x:v>
      </x:c>
      <x:c r="D7" s="13" t="n">
        <x:f>ROUND(C7-B7,2)</x:f>
        <x:v>109.44</x:v>
      </x:c>
    </x:row>
    <x:row r="8" ht="46" customHeight="1">
      <x:c r="A8" s="14" t="str">
        <x:v>15 E ADAMS ST, MILLSTADT, IL 62260</x:v>
      </x:c>
      <x:c r="B8" s="15" t="n">
        <x:v>40.27</x:v>
      </x:c>
      <x:c r="C8" s="15" t="n">
        <x:v>134.23</x:v>
      </x:c>
      <x:c r="D8" s="13" t="n">
        <x:f>ROUND(C8-B8,2)</x:f>
        <x:v>93.96</x:v>
      </x:c>
    </x:row>
    <x:row r="9" ht="46" customHeight="1">
      <x:c r="A9" s="9" t="str">
        <x:v>15 E HARRISON ST, MILLSTADT, IL 62260
Parcel 12-10.0-318-008</x:v>
      </x:c>
      <x:c r="B9" s="11" t="n">
        <x:v>42.74</x:v>
      </x:c>
      <x:c r="C9" s="11" t="n">
        <x:v>142.47</x:v>
      </x:c>
      <x:c r="D9" s="13" t="n">
        <x:f>ROUND(C9-B9,2)</x:f>
        <x:v>99.73</x:v>
      </x:c>
    </x:row>
    <x:row r="10" ht="46" customHeight="1">
      <x:c r="A10" s="14" t="str">
        <x:v>15 E HARRISON ST, MILLSTADT, IL 62260
Parcel 12-10.0-318-009</x:v>
      </x:c>
      <x:c r="B10" s="15" t="n">
        <x:v>0</x:v>
      </x:c>
      <x:c r="C10" s="15" t="n">
        <x:v>0</x:v>
      </x:c>
      <x:c r="D10" s="13" t="n">
        <x:f>ROUND(C10-B10,2)</x:f>
        <x:v>0</x:v>
      </x:c>
    </x:row>
    <x:row r="11" ht="46" customHeight="1">
      <x:c r="A11" s="9" t="str">
        <x:v>17 E HARRISON ST, MILLSTADT, IL 62260</x:v>
      </x:c>
      <x:c r="B11" s="11" t="n">
        <x:v>49.54</x:v>
      </x:c>
      <x:c r="C11" s="11" t="n">
        <x:v>165.13</x:v>
      </x:c>
      <x:c r="D11" s="13" t="n">
        <x:f>ROUND(C11-B11,2)</x:f>
        <x:v>115.59</x:v>
      </x:c>
    </x:row>
    <x:row r="12" ht="46" customHeight="1">
      <x:c r="A12" s="14" t="str">
        <x:v>9 E VAN BUREN ST, MILLSTADT, IL 62260</x:v>
      </x:c>
      <x:c r="B12" s="15" t="n">
        <x:v>64.05</x:v>
      </x:c>
      <x:c r="C12" s="15" t="n">
        <x:v>213.5</x:v>
      </x:c>
      <x:c r="D12" s="13" t="n">
        <x:f>ROUND(C12-B12,2)</x:f>
        <x:v>149.45</x:v>
      </x:c>
    </x:row>
    <x:row r="13" ht="46" customHeight="1">
      <x:c r="A13" s="9" t="str">
        <x:v>10 E VAN BUREN ST, MILLSTADT, IL 62260</x:v>
      </x:c>
      <x:c r="B13" s="11" t="n">
        <x:v>54.16</x:v>
      </x:c>
      <x:c r="C13" s="11" t="n">
        <x:v>180.54</x:v>
      </x:c>
      <x:c r="D13" s="13" t="n">
        <x:f>ROUND(C13-B13,2)</x:f>
        <x:v>126.38</x:v>
      </x:c>
    </x:row>
    <x:row r="14" ht="46" customHeight="1">
      <x:c r="A14" s="14" t="str">
        <x:v>11 E VAN BUREN ST, MILLSTADT, IL 62260</x:v>
      </x:c>
      <x:c r="B14" s="15" t="n">
        <x:v>75.76</x:v>
      </x:c>
      <x:c r="C14" s="15" t="n">
        <x:v>252.53</x:v>
      </x:c>
      <x:c r="D14" s="13" t="n">
        <x:f>ROUND(C14-B14,2)</x:f>
        <x:v>176.77</x:v>
      </x:c>
    </x:row>
    <x:row r="15" ht="46" customHeight="1">
      <x:c r="A15" s="9" t="str">
        <x:v>15 E VAN BUREN ST, MILLSTADT, IL 62260</x:v>
      </x:c>
      <x:c r="B15" s="11" t="n">
        <x:v>75.74</x:v>
      </x:c>
      <x:c r="C15" s="11" t="n">
        <x:v>252.45</x:v>
      </x:c>
      <x:c r="D15" s="13" t="n">
        <x:f>ROUND(C15-B15,2)</x:f>
        <x:v>176.71</x:v>
      </x:c>
    </x:row>
    <x:row r="16" ht="46" customHeight="1">
      <x:c r="A16" s="14" t="str">
        <x:v>18 E VAN BUREN ST, MILLSTADT, IL 62260</x:v>
      </x:c>
      <x:c r="B16" s="15" t="n">
        <x:v>54.19</x:v>
      </x:c>
      <x:c r="C16" s="15" t="n">
        <x:v>180.63</x:v>
      </x:c>
      <x:c r="D16" s="13" t="n">
        <x:f>ROUND(C16-B16,2)</x:f>
        <x:v>126.44</x:v>
      </x:c>
    </x:row>
    <x:row r="17" ht="46" customHeight="1">
      <x:c r="A17" s="9" t="str">
        <x:v>25 E VAN BUREN ST, MILLSTADT, IL 62260</x:v>
      </x:c>
      <x:c r="B17" s="11" t="n">
        <x:v>27.41</x:v>
      </x:c>
      <x:c r="C17" s="11" t="n">
        <x:v>91.38</x:v>
      </x:c>
      <x:c r="D17" s="13" t="n">
        <x:f>ROUND(C17-B17,2)</x:f>
        <x:v>63.97</x:v>
      </x:c>
    </x:row>
    <x:row r="18" ht="46" customHeight="1">
      <x:c r="A18" s="14" t="str">
        <x:v>609 S BREESE ST, MILLSTADT, IL 62260</x:v>
      </x:c>
      <x:c r="B18" s="15" t="n">
        <x:v>116.92</x:v>
      </x:c>
      <x:c r="C18" s="15" t="n">
        <x:v>389.74</x:v>
      </x:c>
      <x:c r="D18" s="13" t="n">
        <x:f>ROUND(C18-B18,2)</x:f>
        <x:v>272.82</x:v>
      </x:c>
    </x:row>
    <x:row r="19" ht="46" customHeight="1">
      <x:c r="A19" s="9" t="str">
        <x:v>725 S BREESE ST, MILLSTADT, IL 62260</x:v>
      </x:c>
      <x:c r="B19" s="11" t="n">
        <x:v>55.02</x:v>
      </x:c>
      <x:c r="C19" s="11" t="n">
        <x:v>183.39</x:v>
      </x:c>
      <x:c r="D19" s="13" t="n">
        <x:f>ROUND(C19-B19,2)</x:f>
        <x:v>128.37</x:v>
      </x:c>
    </x:row>
    <x:row r="20" ht="46" customHeight="1">
      <x:c r="A20" s="14" t="str">
        <x:v>733 S BREESE ST, MILLSTADT, IL 62260</x:v>
      </x:c>
      <x:c r="B20" s="15" t="n">
        <x:v>52.15</x:v>
      </x:c>
      <x:c r="C20" s="15" t="n">
        <x:v>173.84</x:v>
      </x:c>
      <x:c r="D20" s="13" t="n">
        <x:f>ROUND(C20-B20,2)</x:f>
        <x:v>121.69</x:v>
      </x:c>
    </x:row>
    <x:row r="21" ht="46" customHeight="1">
      <x:c r="A21" s="9" t="str">
        <x:v>610 S JEFFERSON ST, MILLSTADT, IL 62260</x:v>
      </x:c>
      <x:c r="B21" s="11" t="n">
        <x:v>8.62</x:v>
      </x:c>
      <x:c r="C21" s="11" t="n">
        <x:v>28.72</x:v>
      </x:c>
      <x:c r="D21" s="13" t="n">
        <x:f>ROUND(C21-B21,2)</x:f>
        <x:v>20.1</x:v>
      </x:c>
    </x:row>
    <x:row r="22" ht="46" customHeight="1">
      <x:c r="A22" s="14" t="str">
        <x:v>704 S JEFFERSON ST, MILLSTADT, IL 62260</x:v>
      </x:c>
      <x:c r="B22" s="15" t="n">
        <x:v>54.67</x:v>
      </x:c>
      <x:c r="C22" s="15" t="n">
        <x:v>182.24</x:v>
      </x:c>
      <x:c r="D22" s="13" t="n">
        <x:f>ROUND(C22-B22,2)</x:f>
        <x:v>127.57</x:v>
      </x:c>
    </x:row>
    <x:row r="23" ht="46" customHeight="1">
      <x:c r="A23" s="9" t="str">
        <x:v>800 S JEFFERSON ST, MILLSTADT, IL 62260
Parcel 12-10.0-319-001</x:v>
      </x:c>
      <x:c r="B23" s="11" t="n">
        <x:v>13.78</x:v>
      </x:c>
      <x:c r="C23" s="11" t="n">
        <x:v>45.94</x:v>
      </x:c>
      <x:c r="D23" s="13" t="n">
        <x:f>ROUND(C23-B23,2)</x:f>
        <x:v>32.16</x:v>
      </x:c>
    </x:row>
    <x:row r="24" ht="46" customHeight="1">
      <x:c r="A24" s="14" t="str">
        <x:v>800 S JEFFERSON ST, MILLSTADT, IL 62260
Parcel 12-10.0-319-002</x:v>
      </x:c>
      <x:c r="B24" s="15" t="n">
        <x:v>7.86</x:v>
      </x:c>
      <x:c r="C24" s="15" t="n">
        <x:v>26.21</x:v>
      </x:c>
      <x:c r="D24" s="13" t="n">
        <x:f>ROUND(C24-B24,2)</x:f>
        <x:v>18.35</x:v>
      </x:c>
    </x:row>
  </x:sheetData>
  <x:sheetProtection algorithmName="SHA-512" hashValue="H5pQyd7jzRB7fsU79p1IBXRGXeE/IK0/ClULaBOBGpkjCQbuUIN/hHzKhNYsEcySMlVxIyuu+48XAdCSKyJEBA==" saltValue="4iGFoiRtyEbYIZGjF6Ywbg==" spinCount="100000" sheet="1" objects="1" scenarios="1"/>
  <x:pageMargins left="0.7" right="0.7" top="0.75" bottom="0.75" header="0.3" footer="0.3"/>
</x:worksheet>
</file>