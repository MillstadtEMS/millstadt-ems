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21e3ce4b4403d" /></Relationships>
</file>

<file path=xl/workbook.xml><?xml version="1.0" encoding="utf-8"?>
<x:workbook xmlns:x="http://schemas.openxmlformats.org/spreadsheetml/2006/main">
  <x:workbookProtection workbookAlgorithmName="SHA-512" workbookHashValue="66reLTUl2gOcM8EkMrZ/MUFT4qY7mI7U2pb4zMsHwDjhDrPBrNCft1A+CDXvpuva01wvfw6uz83kAqfePGTPlw==" workbookSaltValue="+pvvoVWiVp/FdN9tLXobzQ==" workbookSpinCount="100000" lockStructure="1"/>
  <x:sheets>
    <x:sheet xmlns:r="http://schemas.openxmlformats.org/officeDocument/2006/relationships" name="Annual EMS taxes" sheetId="1" r:id="Rd071a4b1913645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0bab49e0748bd" /><Relationship Type="http://schemas.openxmlformats.org/officeDocument/2006/relationships/theme" Target="/xl/theme/theme1.xml" Id="Rc023747304dd4402" /><Relationship Type="http://schemas.openxmlformats.org/officeDocument/2006/relationships/sharedStrings" Target="/xl/sharedStrings.xml" Id="Rcdd21057a0ad4880" /><Relationship Type="http://schemas.openxmlformats.org/officeDocument/2006/relationships/worksheet" Target="/xl/worksheets/sheet1.xml" Id="Rd071a4b1913645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32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9928 CONCORDIA CHURCH RD, MILLSTADT, IL 62260</x:v>
      </x:c>
      <x:c r="B7" s="11" t="n">
        <x:v>100.19</x:v>
      </x:c>
      <x:c r="C7" s="11" t="n">
        <x:v>333.96</x:v>
      </x:c>
      <x:c r="D7" s="13" t="n">
        <x:f>ROUND(C7-B7,2)</x:f>
        <x:v>233.77</x:v>
      </x:c>
    </x:row>
    <x:row r="8" ht="46" customHeight="1">
      <x:c r="A8" s="14" t="str">
        <x:v>9944 CONCORDIA CHURCH RD, MILLSTADT, IL 62260</x:v>
      </x:c>
      <x:c r="B8" s="15" t="n">
        <x:v>208.84</x:v>
      </x:c>
      <x:c r="C8" s="15" t="n">
        <x:v>696.14</x:v>
      </x:c>
      <x:c r="D8" s="13" t="n">
        <x:f>ROUND(C8-B8,2)</x:f>
        <x:v>487.3</x:v>
      </x:c>
    </x:row>
    <x:row r="9" ht="46" customHeight="1">
      <x:c r="A9" s="9" t="str">
        <x:v>7177 HICKMAN CREEK RD, MILLSTADT, IL 62260</x:v>
      </x:c>
      <x:c r="B9" s="11" t="n">
        <x:v>127.24</x:v>
      </x:c>
      <x:c r="C9" s="11" t="n">
        <x:v>424.13</x:v>
      </x:c>
      <x:c r="D9" s="13" t="n">
        <x:f>ROUND(C9-B9,2)</x:f>
        <x:v>296.89</x:v>
      </x:c>
    </x:row>
    <x:row r="10" ht="46" customHeight="1">
      <x:c r="A10" s="14" t="str">
        <x:v>7393 MUELLER RD, MILLSTADT, IL 62260</x:v>
      </x:c>
      <x:c r="B10" s="15" t="n">
        <x:v>93.52</x:v>
      </x:c>
      <x:c r="C10" s="15" t="n">
        <x:v>311.74</x:v>
      </x:c>
      <x:c r="D10" s="13" t="n">
        <x:f>ROUND(C10-B10,2)</x:f>
        <x:v>218.22</x:v>
      </x:c>
    </x:row>
    <x:row r="11" ht="46" customHeight="1">
      <x:c r="A11" s="9" t="str">
        <x:v>7401 MUELLER RD, MILLSTADT, IL 62260
Parcel 07-32.0-400-004</x:v>
      </x:c>
      <x:c r="B11" s="11" t="n">
        <x:v>69.49</x:v>
      </x:c>
      <x:c r="C11" s="11" t="n">
        <x:v>231.62</x:v>
      </x:c>
      <x:c r="D11" s="13" t="n">
        <x:f>ROUND(C11-B11,2)</x:f>
        <x:v>162.13</x:v>
      </x:c>
    </x:row>
    <x:row r="12" ht="46" customHeight="1">
      <x:c r="A12" s="14" t="str">
        <x:v>7453 MUELLER RD, MILLSTADT, IL 62260
Parcel 07-32.0-200-012</x:v>
      </x:c>
      <x:c r="B12" s="15" t="n">
        <x:v>87.86</x:v>
      </x:c>
      <x:c r="C12" s="15" t="n">
        <x:v>292.87</x:v>
      </x:c>
      <x:c r="D12" s="13" t="n">
        <x:f>ROUND(C12-B12,2)</x:f>
        <x:v>205.01</x:v>
      </x:c>
    </x:row>
    <x:row r="13" ht="46" customHeight="1">
      <x:c r="A13" s="9" t="str">
        <x:v>7549 NELSON LN, MILLSTADT, IL 62260</x:v>
      </x:c>
      <x:c r="B13" s="11" t="n">
        <x:v>47.34</x:v>
      </x:c>
      <x:c r="C13" s="11" t="n">
        <x:v>157.8</x:v>
      </x:c>
      <x:c r="D13" s="13" t="n">
        <x:f>ROUND(C13-B13,2)</x:f>
        <x:v>110.46</x:v>
      </x:c>
    </x:row>
    <x:row r="14" ht="46" customHeight="1">
      <x:c r="A14" s="14" t="str">
        <x:v>7575 NELSON RD, MILLSTADT, IL 62260</x:v>
      </x:c>
      <x:c r="B14" s="15" t="n">
        <x:v>93.44</x:v>
      </x:c>
      <x:c r="C14" s="15" t="n">
        <x:v>311.45</x:v>
      </x:c>
      <x:c r="D14" s="13" t="n">
        <x:f>ROUND(C14-B14,2)</x:f>
        <x:v>218.01</x:v>
      </x:c>
    </x:row>
    <x:row r="15" ht="46" customHeight="1">
      <x:c r="A15" s="9" t="str">
        <x:v>7312 NORTHWOOD CT, MILLSTADT, IL 62260</x:v>
      </x:c>
      <x:c r="B15" s="11" t="n">
        <x:v>102.29</x:v>
      </x:c>
      <x:c r="C15" s="11" t="n">
        <x:v>340.95</x:v>
      </x:c>
      <x:c r="D15" s="13" t="n">
        <x:f>ROUND(C15-B15,2)</x:f>
        <x:v>238.66</x:v>
      </x:c>
    </x:row>
    <x:row r="16" ht="46" customHeight="1">
      <x:c r="A16" s="14" t="str">
        <x:v>7315 NORTHWOOD CT, MILLSTADT, IL 62260
Parcel 07-32.0-100-021</x:v>
      </x:c>
      <x:c r="B16" s="15" t="n">
        <x:v>17.07</x:v>
      </x:c>
      <x:c r="C16" s="15" t="n">
        <x:v>56.92</x:v>
      </x:c>
      <x:c r="D16" s="13" t="n">
        <x:f>ROUND(C16-B16,2)</x:f>
        <x:v>39.85</x:v>
      </x:c>
    </x:row>
    <x:row r="17" ht="46" customHeight="1">
      <x:c r="A17" s="9" t="str">
        <x:v>7320 NORTHWOOD CT, MILLSTADT, IL 62260
Parcel 07-32.0-100-017</x:v>
      </x:c>
      <x:c r="B17" s="11" t="n">
        <x:v>137.99</x:v>
      </x:c>
      <x:c r="C17" s="11" t="n">
        <x:v>459.96</x:v>
      </x:c>
      <x:c r="D17" s="13" t="n">
        <x:f>ROUND(C17-B17,2)</x:f>
        <x:v>321.97</x:v>
      </x:c>
    </x:row>
    <x:row r="18" ht="46" customHeight="1">
      <x:c r="A18" s="14" t="str">
        <x:v>7323 NORTHWOOD CT, MILLSTADT, IL 62260</x:v>
      </x:c>
      <x:c r="B18" s="15" t="n">
        <x:v>131.3</x:v>
      </x:c>
      <x:c r="C18" s="15" t="n">
        <x:v>437.68</x:v>
      </x:c>
      <x:c r="D18" s="13" t="n">
        <x:f>ROUND(C18-B18,2)</x:f>
        <x:v>306.38</x:v>
      </x:c>
    </x:row>
    <x:row r="19" ht="46" customHeight="1">
      <x:c r="A19" s="9" t="str">
        <x:v>7328 NORTHWOOD CT, MILLSTADT, IL 62260
Parcel 07-32.0-100-010</x:v>
      </x:c>
      <x:c r="B19" s="11" t="n">
        <x:v>84.13</x:v>
      </x:c>
      <x:c r="C19" s="11" t="n">
        <x:v>280.42</x:v>
      </x:c>
      <x:c r="D19" s="13" t="n">
        <x:f>ROUND(C19-B19,2)</x:f>
        <x:v>196.29</x:v>
      </x:c>
    </x:row>
    <x:row r="20" ht="46" customHeight="1">
      <x:c r="A20" s="14" t="str">
        <x:v>7331 NORTHWOOD CT, MILLSTADT, IL 62260
Parcel 07-32.0-100-016</x:v>
      </x:c>
      <x:c r="B20" s="15" t="n">
        <x:v>249.73</x:v>
      </x:c>
      <x:c r="C20" s="15" t="n">
        <x:v>832.42</x:v>
      </x:c>
      <x:c r="D20" s="13" t="n">
        <x:f>ROUND(C20-B20,2)</x:f>
        <x:v>582.69</x:v>
      </x:c>
    </x:row>
    <x:row r="21" ht="46" customHeight="1">
      <x:c r="A21" s="9" t="str">
        <x:v>2815 RIDGEVIEW LN, MILLSTADT, IL 62260</x:v>
      </x:c>
      <x:c r="B21" s="11" t="n">
        <x:v>135.45</x:v>
      </x:c>
      <x:c r="C21" s="11" t="n">
        <x:v>451.49</x:v>
      </x:c>
      <x:c r="D21" s="13" t="n">
        <x:f>ROUND(C21-B21,2)</x:f>
        <x:v>316.04</x:v>
      </x:c>
    </x:row>
    <x:row r="22" ht="46" customHeight="1">
      <x:c r="A22" s="14" t="str">
        <x:v>2835 RIDGEVIEW LN, MILLSTADT, IL 62260</x:v>
      </x:c>
      <x:c r="B22" s="15" t="n">
        <x:v>126.13</x:v>
      </x:c>
      <x:c r="C22" s="15" t="n">
        <x:v>420.44</x:v>
      </x:c>
      <x:c r="D22" s="13" t="n">
        <x:f>ROUND(C22-B22,2)</x:f>
        <x:v>294.31</x:v>
      </x:c>
    </x:row>
    <x:row r="23" ht="46" customHeight="1">
      <x:c r="A23" s="9" t="str">
        <x:v>2847 RIDGEVIEW LN, MILLSTADT, IL 62260</x:v>
      </x:c>
      <x:c r="B23" s="11" t="n">
        <x:v>92.19</x:v>
      </x:c>
      <x:c r="C23" s="11" t="n">
        <x:v>307.29</x:v>
      </x:c>
      <x:c r="D23" s="13" t="n">
        <x:f>ROUND(C23-B23,2)</x:f>
        <x:v>215.1</x:v>
      </x:c>
    </x:row>
    <x:row r="24" ht="46" customHeight="1">
      <x:c r="A24" s="14" t="str">
        <x:v>2877 RIDGEVIEW LN, MILLSTADT, IL 62260</x:v>
      </x:c>
      <x:c r="B24" s="15" t="n">
        <x:v>114.53</x:v>
      </x:c>
      <x:c r="C24" s="15" t="n">
        <x:v>381.77</x:v>
      </x:c>
      <x:c r="D24" s="13" t="n">
        <x:f>ROUND(C24-B24,2)</x:f>
        <x:v>267.24</x:v>
      </x:c>
    </x:row>
    <x:row r="25" ht="46" customHeight="1">
      <x:c r="A25" s="9" t="str">
        <x:v>2816 RIDGEVIEW RD, MILLSTADT, IL 62260</x:v>
      </x:c>
      <x:c r="B25" s="11" t="n">
        <x:v>0</x:v>
      </x:c>
      <x:c r="C25" s="11" t="n">
        <x:v>0</x:v>
      </x:c>
      <x:c r="D25" s="13" t="n">
        <x:f>ROUND(C25-B25,2)</x:f>
        <x:v>0</x:v>
      </x:c>
    </x:row>
    <x:row r="26" ht="46" customHeight="1">
      <x:c r="A26" s="14" t="str">
        <x:v>7300 WIRTH RD, MILLSTADT, IL 62260</x:v>
      </x:c>
      <x:c r="B26" s="15" t="n">
        <x:v>0</x:v>
      </x:c>
      <x:c r="C26" s="15" t="n">
        <x:v>0</x:v>
      </x:c>
      <x:c r="D26" s="13" t="n">
        <x:f>ROUND(C26-B26,2)</x:f>
        <x:v>0</x:v>
      </x:c>
    </x:row>
    <x:row r="27" ht="46" customHeight="1">
      <x:c r="A27" s="9" t="str">
        <x:v>7328 WIRTH RD, MILLSTADT, IL 62260</x:v>
      </x:c>
      <x:c r="B27" s="11" t="n">
        <x:v>69.38</x:v>
      </x:c>
      <x:c r="C27" s="11" t="n">
        <x:v>231.26</x:v>
      </x:c>
      <x:c r="D27" s="13" t="n">
        <x:f>ROUND(C27-B27,2)</x:f>
        <x:v>161.88</x:v>
      </x:c>
    </x:row>
    <x:row r="28" ht="46" customHeight="1">
      <x:c r="A28" s="14" t="str">
        <x:v>2810 ZINGG RD, MILLSTADT, IL 62260</x:v>
      </x:c>
      <x:c r="B28" s="15" t="n">
        <x:v>96.97</x:v>
      </x:c>
      <x:c r="C28" s="15" t="n">
        <x:v>323.25</x:v>
      </x:c>
      <x:c r="D28" s="13" t="n">
        <x:f>ROUND(C28-B28,2)</x:f>
        <x:v>226.28</x:v>
      </x:c>
    </x:row>
    <x:row r="29" ht="46" customHeight="1">
      <x:c r="A29" s="9" t="str">
        <x:v>2817 ZINGG RD, MILLSTADT, IL 62260</x:v>
      </x:c>
      <x:c r="B29" s="11" t="n">
        <x:v>79.25</x:v>
      </x:c>
      <x:c r="C29" s="11" t="n">
        <x:v>264.18</x:v>
      </x:c>
      <x:c r="D29" s="13" t="n">
        <x:f>ROUND(C29-B29,2)</x:f>
        <x:v>184.93</x:v>
      </x:c>
    </x:row>
    <x:row r="30" ht="46" customHeight="1">
      <x:c r="A30" s="14" t="str">
        <x:v>2832 ZINGG RD, MILLSTADT, IL 62260
Parcel 07-32.0-300-020</x:v>
      </x:c>
      <x:c r="B30" s="15" t="n">
        <x:v>1.08</x:v>
      </x:c>
      <x:c r="C30" s="15" t="n">
        <x:v>3.59</x:v>
      </x:c>
      <x:c r="D30" s="13" t="n">
        <x:f>ROUND(C30-B30,2)</x:f>
        <x:v>2.51</x:v>
      </x:c>
    </x:row>
    <x:row r="31" ht="46" customHeight="1">
      <x:c r="A31" s="9" t="str">
        <x:v>2832 ZINGG RD, MILLSTADT, IL 62260
Parcel 07-32.0-300-027</x:v>
      </x:c>
      <x:c r="B31" s="11" t="n">
        <x:v>170.06</x:v>
      </x:c>
      <x:c r="C31" s="11" t="n">
        <x:v>566.87</x:v>
      </x:c>
      <x:c r="D31" s="13" t="n">
        <x:f>ROUND(C31-B31,2)</x:f>
        <x:v>396.81</x:v>
      </x:c>
    </x:row>
    <x:row r="32" ht="46" customHeight="1">
      <x:c r="A32" s="14" t="str">
        <x:v>2860 ZINGG RD, MILLSTADT, IL 62260</x:v>
      </x:c>
      <x:c r="B32" s="15" t="n">
        <x:v>142.55</x:v>
      </x:c>
      <x:c r="C32" s="15" t="n">
        <x:v>475.17</x:v>
      </x:c>
      <x:c r="D32" s="13" t="n">
        <x:f>ROUND(C32-B32,2)</x:f>
        <x:v>332.62</x:v>
      </x:c>
    </x:row>
    <x:row r="33" ht="46" customHeight="1">
      <x:c r="A33" s="9" t="str">
        <x:v>2905 ZINGG RD, MILLSTADT, IL 62260</x:v>
      </x:c>
      <x:c r="B33" s="11" t="n">
        <x:v>16.5</x:v>
      </x:c>
      <x:c r="C33" s="11" t="n">
        <x:v>55</x:v>
      </x:c>
      <x:c r="D33" s="13" t="n">
        <x:f>ROUND(C33-B33,2)</x:f>
        <x:v>38.5</x:v>
      </x:c>
    </x:row>
    <x:row r="34" ht="46" customHeight="1">
      <x:c r="A34" s="14" t="str">
        <x:v>2943 ZINGG RD, MILLSTADT, IL 62260
Parcel 07-32.0-400-007</x:v>
      </x:c>
      <x:c r="B34" s="15" t="n">
        <x:v>13.53</x:v>
      </x:c>
      <x:c r="C34" s="15" t="n">
        <x:v>45.11</x:v>
      </x:c>
      <x:c r="D34" s="13" t="n">
        <x:f>ROUND(C34-B34,2)</x:f>
        <x:v>31.58</x:v>
      </x:c>
    </x:row>
    <x:row r="35" ht="46" customHeight="1">
      <x:c r="A35" s="9" t="str">
        <x:v>2943 ZINGG RD, MILLSTADT, IL 62260
Parcel 07-32.0-400-008</x:v>
      </x:c>
      <x:c r="B35" s="11" t="n">
        <x:v>13.85</x:v>
      </x:c>
      <x:c r="C35" s="11" t="n">
        <x:v>46.17</x:v>
      </x:c>
      <x:c r="D35" s="13" t="n">
        <x:f>ROUND(C35-B35,2)</x:f>
        <x:v>32.32</x:v>
      </x:c>
    </x:row>
    <x:row r="36" ht="46" customHeight="1">
      <x:c r="A36" s="14" t="str">
        <x:v>2950 ZINGG RD, MILLSTADT, IL 62260</x:v>
      </x:c>
      <x:c r="B36" s="15" t="n">
        <x:v>68.93</x:v>
      </x:c>
      <x:c r="C36" s="15" t="n">
        <x:v>229.78</x:v>
      </x:c>
      <x:c r="D36" s="13" t="n">
        <x:f>ROUND(C36-B36,2)</x:f>
        <x:v>160.85</x:v>
      </x:c>
    </x:row>
    <x:row r="37" ht="46" customHeight="1">
      <x:c r="A37" s="9" t="str">
        <x:v>3141 ZINGG RD, MILLSTADT, IL 62260</x:v>
      </x:c>
      <x:c r="B37" s="11" t="n">
        <x:v>156.88</x:v>
      </x:c>
      <x:c r="C37" s="11" t="n">
        <x:v>522.92</x:v>
      </x:c>
      <x:c r="D37" s="13" t="n">
        <x:f>ROUND(C37-B37,2)</x:f>
        <x:v>366.04</x:v>
      </x:c>
    </x:row>
  </x:sheetData>
  <x:sheetProtection algorithmName="SHA-512" hashValue="66reLTUl2gOcM8EkMrZ/MUFT4qY7mI7U2pb4zMsHwDjhDrPBrNCft1A+CDXvpuva01wvfw6uz83kAqfePGTPlw==" saltValue="+pvvoVWiVp/FdN9tLXobzQ==" spinCount="100000" sheet="1" objects="1" scenarios="1"/>
  <x:pageMargins left="0.7" right="0.7" top="0.75" bottom="0.75" header="0.3" footer="0.3"/>
</x:worksheet>
</file>