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02010585a4dd7" /></Relationships>
</file>

<file path=xl/workbook.xml><?xml version="1.0" encoding="utf-8"?>
<x:workbook xmlns:x="http://schemas.openxmlformats.org/spreadsheetml/2006/main">
  <x:workbookProtection workbookAlgorithmName="SHA-512" workbookHashValue="u9Ta4+XEOQjP11zK3Ct5yZMwdS7zu2PDFNhqWSQROw1qqLuVwLuEPW+aZThJzZkFUCL8J4wQcZ1ab2gLtLxF6A==" workbookSaltValue="MIgOqvKqcMaQuXfF8yfizg==" workbookSpinCount="100000" lockStructure="1"/>
  <x:sheets>
    <x:sheet xmlns:r="http://schemas.openxmlformats.org/officeDocument/2006/relationships" name="Annual EMS taxes" sheetId="1" r:id="R1a63bc8cdfa1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0d34469d545d1" /><Relationship Type="http://schemas.openxmlformats.org/officeDocument/2006/relationships/theme" Target="/xl/theme/theme1.xml" Id="R695ecd88c2864544" /><Relationship Type="http://schemas.openxmlformats.org/officeDocument/2006/relationships/sharedStrings" Target="/xl/sharedStrings.xml" Id="R577f529f3b5343af" /><Relationship Type="http://schemas.openxmlformats.org/officeDocument/2006/relationships/worksheet" Target="/xl/worksheets/sheet1.xml" Id="R1a63bc8cdfa145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23&amp; 24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4110 BUSS BRANCH RD, WATERLOO, IL 62298</x:v>
      </x:c>
      <x:c r="B7" s="11" t="n">
        <x:v>0</x:v>
      </x:c>
      <x:c r="C7" s="11" t="n">
        <x:v>130.38</x:v>
      </x:c>
      <x:c r="D7" s="13" t="n">
        <x:f>ROUND(C7-B7,2)</x:f>
        <x:v>130.38</x:v>
      </x:c>
    </x:row>
    <x:row r="8" ht="46" customHeight="1">
      <x:c r="A8" s="14" t="str">
        <x:v>4111 BUSS BRANCH RD, WATERLOO, IL 62298</x:v>
      </x:c>
      <x:c r="B8" s="15" t="n">
        <x:v>0</x:v>
      </x:c>
      <x:c r="C8" s="15" t="n">
        <x:v>174.64</x:v>
      </x:c>
      <x:c r="D8" s="13" t="n">
        <x:f>ROUND(C8-B8,2)</x:f>
        <x:v>174.64</x:v>
      </x:c>
    </x:row>
    <x:row r="9" ht="46" customHeight="1">
      <x:c r="A9" s="9" t="str">
        <x:v>4116 BUSS BRANCH RD, WATERLOO, IL 62298</x:v>
      </x:c>
      <x:c r="B9" s="11" t="n">
        <x:v>0</x:v>
      </x:c>
      <x:c r="C9" s="11" t="n">
        <x:v>761.35</x:v>
      </x:c>
      <x:c r="D9" s="13" t="n">
        <x:f>ROUND(C9-B9,2)</x:f>
        <x:v>761.35</x:v>
      </x:c>
    </x:row>
    <x:row r="10" ht="46" customHeight="1">
      <x:c r="A10" s="14" t="str">
        <x:v>4129 BUSS BRANCH RD, WATERLOO, IL 62298</x:v>
      </x:c>
      <x:c r="B10" s="15" t="n">
        <x:v>0</x:v>
      </x:c>
      <x:c r="C10" s="15" t="n">
        <x:v>216.06</x:v>
      </x:c>
      <x:c r="D10" s="13" t="n">
        <x:f>ROUND(C10-B10,2)</x:f>
        <x:v>216.06</x:v>
      </x:c>
    </x:row>
    <x:row r="11" ht="46" customHeight="1">
      <x:c r="A11" s="9" t="str">
        <x:v>3201 LOEHR RD, WATERLOO, IL 62298</x:v>
      </x:c>
      <x:c r="B11" s="11" t="n">
        <x:v>0</x:v>
      </x:c>
      <x:c r="C11" s="11" t="n">
        <x:v>84.47</x:v>
      </x:c>
      <x:c r="D11" s="13" t="n">
        <x:f>ROUND(C11-B11,2)</x:f>
        <x:v>84.47</x:v>
      </x:c>
    </x:row>
    <x:row r="12" ht="46" customHeight="1">
      <x:c r="A12" s="14" t="str">
        <x:v>3247 LOEHR RD, WATERLOO, IL 62298</x:v>
      </x:c>
      <x:c r="B12" s="15" t="n">
        <x:v>0</x:v>
      </x:c>
      <x:c r="C12" s="15" t="n">
        <x:v>139.75</x:v>
      </x:c>
      <x:c r="D12" s="13" t="n">
        <x:f>ROUND(C12-B12,2)</x:f>
        <x:v>139.75</x:v>
      </x:c>
    </x:row>
    <x:row r="13" ht="46" customHeight="1">
      <x:c r="A13" s="9" t="str">
        <x:v>3253 LOEHR RD, WATERLOO, IL 62298</x:v>
      </x:c>
      <x:c r="B13" s="11" t="n">
        <x:v>0</x:v>
      </x:c>
      <x:c r="C13" s="11" t="n">
        <x:v>110.18</x:v>
      </x:c>
      <x:c r="D13" s="13" t="n">
        <x:f>ROUND(C13-B13,2)</x:f>
        <x:v>110.18</x:v>
      </x:c>
    </x:row>
    <x:row r="14" ht="46" customHeight="1">
      <x:c r="A14" s="14" t="str">
        <x:v>3305 LOEHR RD, WATERLOO, IL 62298</x:v>
      </x:c>
      <x:c r="B14" s="15" t="n">
        <x:v>0</x:v>
      </x:c>
      <x:c r="C14" s="15" t="n">
        <x:v>539.49</x:v>
      </x:c>
      <x:c r="D14" s="13" t="n">
        <x:f>ROUND(C14-B14,2)</x:f>
        <x:v>539.49</x:v>
      </x:c>
    </x:row>
    <x:row r="15" ht="46" customHeight="1">
      <x:c r="A15" s="9" t="str">
        <x:v>3309 LOEHR RD, WATERLOO, IL 62298</x:v>
      </x:c>
      <x:c r="B15" s="11" t="n">
        <x:v>0</x:v>
      </x:c>
      <x:c r="C15" s="11" t="n">
        <x:v>201.75</x:v>
      </x:c>
      <x:c r="D15" s="13" t="n">
        <x:f>ROUND(C15-B15,2)</x:f>
        <x:v>201.75</x:v>
      </x:c>
    </x:row>
    <x:row r="16" ht="46" customHeight="1">
      <x:c r="A16" s="14" t="str">
        <x:v>3315 LOEHR RD, WATERLOO, IL 62298</x:v>
      </x:c>
      <x:c r="B16" s="15" t="n">
        <x:v>0</x:v>
      </x:c>
      <x:c r="C16" s="15" t="n">
        <x:v>6.42</x:v>
      </x:c>
      <x:c r="D16" s="13" t="n">
        <x:f>ROUND(C16-B16,2)</x:f>
        <x:v>6.42</x:v>
      </x:c>
    </x:row>
    <x:row r="17" ht="46" customHeight="1">
      <x:c r="A17" s="9" t="str">
        <x:v>3327 LOEHR RD, WATERLOO, IL 62298</x:v>
      </x:c>
      <x:c r="B17" s="11" t="n">
        <x:v>0</x:v>
      </x:c>
      <x:c r="C17" s="11" t="n">
        <x:v>184.57</x:v>
      </x:c>
      <x:c r="D17" s="13" t="n">
        <x:f>ROUND(C17-B17,2)</x:f>
        <x:v>184.57</x:v>
      </x:c>
    </x:row>
    <x:row r="18" ht="46" customHeight="1">
      <x:c r="A18" s="14" t="str">
        <x:v>3345 LOEHR RD, WATERLOO, IL 62298</x:v>
      </x:c>
      <x:c r="B18" s="15" t="n">
        <x:v>0</x:v>
      </x:c>
      <x:c r="C18" s="15" t="n">
        <x:v>186.29</x:v>
      </x:c>
      <x:c r="D18" s="13" t="n">
        <x:f>ROUND(C18-B18,2)</x:f>
        <x:v>186.29</x:v>
      </x:c>
    </x:row>
    <x:row r="19" ht="46" customHeight="1">
      <x:c r="A19" s="9" t="str">
        <x:v>4500 ORLET RD, WATERLOO, IL 62298</x:v>
      </x:c>
      <x:c r="B19" s="11" t="n">
        <x:v>0</x:v>
      </x:c>
      <x:c r="C19" s="11" t="n">
        <x:v>80.43</x:v>
      </x:c>
      <x:c r="D19" s="13" t="n">
        <x:f>ROUND(C19-B19,2)</x:f>
        <x:v>80.43</x:v>
      </x:c>
    </x:row>
    <x:row r="20" ht="46" customHeight="1">
      <x:c r="A20" s="14" t="str">
        <x:v>4501 ORLET RD, WATERLOO, IL 62298</x:v>
      </x:c>
      <x:c r="B20" s="15" t="n">
        <x:v>0</x:v>
      </x:c>
      <x:c r="C20" s="15" t="n">
        <x:v>113</x:v>
      </x:c>
      <x:c r="D20" s="13" t="n">
        <x:f>ROUND(C20-B20,2)</x:f>
        <x:v>113</x:v>
      </x:c>
    </x:row>
    <x:row r="21" ht="46" customHeight="1">
      <x:c r="A21" s="9" t="str">
        <x:v>4505 ORLET RD, WATERLOO, IL 62298</x:v>
      </x:c>
      <x:c r="B21" s="11" t="n">
        <x:v>0</x:v>
      </x:c>
      <x:c r="C21" s="11" t="n">
        <x:v>180.77</x:v>
      </x:c>
      <x:c r="D21" s="13" t="n">
        <x:f>ROUND(C21-B21,2)</x:f>
        <x:v>180.77</x:v>
      </x:c>
    </x:row>
    <x:row r="22" ht="46" customHeight="1">
      <x:c r="A22" s="14" t="str">
        <x:v>4509 ORLET RD, WATERLOO, IL 62298</x:v>
      </x:c>
      <x:c r="B22" s="15" t="n">
        <x:v>0</x:v>
      </x:c>
      <x:c r="C22" s="15" t="n">
        <x:v>218.98</x:v>
      </x:c>
      <x:c r="D22" s="13" t="n">
        <x:f>ROUND(C22-B22,2)</x:f>
        <x:v>218.98</x:v>
      </x:c>
    </x:row>
    <x:row r="23" ht="46" customHeight="1">
      <x:c r="A23" s="9" t="str">
        <x:v>4530 ORLET RD, WATERLOO, IL 62298</x:v>
      </x:c>
      <x:c r="B23" s="11" t="n">
        <x:v>0</x:v>
      </x:c>
      <x:c r="C23" s="11" t="n">
        <x:v>239.39</x:v>
      </x:c>
      <x:c r="D23" s="13" t="n">
        <x:f>ROUND(C23-B23,2)</x:f>
        <x:v>239.39</x:v>
      </x:c>
    </x:row>
    <x:row r="24" ht="46" customHeight="1">
      <x:c r="A24" s="14" t="str">
        <x:v>4535 ORLET RD, WATERLOO, IL 62298</x:v>
      </x:c>
      <x:c r="B24" s="15" t="n">
        <x:v>0</x:v>
      </x:c>
      <x:c r="C24" s="15" t="n">
        <x:v>251.62</x:v>
      </x:c>
      <x:c r="D24" s="13" t="n">
        <x:f>ROUND(C24-B24,2)</x:f>
        <x:v>251.62</x:v>
      </x:c>
    </x:row>
    <x:row r="25" ht="46" customHeight="1">
      <x:c r="A25" s="9" t="str">
        <x:v>4567 ORLET RD, WATERLOO, IL 62298</x:v>
      </x:c>
      <x:c r="B25" s="11" t="n">
        <x:v>0</x:v>
      </x:c>
      <x:c r="C25" s="11" t="n">
        <x:v>347.93</x:v>
      </x:c>
      <x:c r="D25" s="13" t="n">
        <x:f>ROUND(C25-B25,2)</x:f>
        <x:v>347.93</x:v>
      </x:c>
    </x:row>
    <x:row r="26" ht="46" customHeight="1">
      <x:c r="A26" s="14" t="str">
        <x:v>4601 ORLET RD, WATERLOO, IL 62298</x:v>
      </x:c>
      <x:c r="B26" s="15" t="n">
        <x:v>0</x:v>
      </x:c>
      <x:c r="C26" s="15" t="n">
        <x:v>239.01</x:v>
      </x:c>
      <x:c r="D26" s="13" t="n">
        <x:f>ROUND(C26-B26,2)</x:f>
        <x:v>239.01</x:v>
      </x:c>
    </x:row>
    <x:row r="27" ht="46" customHeight="1">
      <x:c r="A27" s="9" t="str">
        <x:v>4613 ORLET RD, WATERLOO, IL 62298</x:v>
      </x:c>
      <x:c r="B27" s="11" t="n">
        <x:v>0</x:v>
      </x:c>
      <x:c r="C27" s="11" t="n">
        <x:v>442.15</x:v>
      </x:c>
      <x:c r="D27" s="13" t="n">
        <x:f>ROUND(C27-B27,2)</x:f>
        <x:v>442.15</x:v>
      </x:c>
    </x:row>
    <x:row r="28" ht="46" customHeight="1">
      <x:c r="A28" s="14" t="str">
        <x:v>4645 ORLET RD, WATERLOO, IL 62298</x:v>
      </x:c>
      <x:c r="B28" s="15" t="n">
        <x:v>0</x:v>
      </x:c>
      <x:c r="C28" s="15" t="n">
        <x:v>320.6</x:v>
      </x:c>
      <x:c r="D28" s="13" t="n">
        <x:f>ROUND(C28-B28,2)</x:f>
        <x:v>320.6</x:v>
      </x:c>
    </x:row>
    <x:row r="29" ht="46" customHeight="1">
      <x:c r="A29" s="9" t="str">
        <x:v>4706 ORLET RD, WATERLOO, IL 62298</x:v>
      </x:c>
      <x:c r="B29" s="11" t="n">
        <x:v>0</x:v>
      </x:c>
      <x:c r="C29" s="11" t="n">
        <x:v>305.68</x:v>
      </x:c>
      <x:c r="D29" s="13" t="n">
        <x:f>ROUND(C29-B29,2)</x:f>
        <x:v>305.68</x:v>
      </x:c>
    </x:row>
    <x:row r="30" ht="46" customHeight="1">
      <x:c r="A30" s="14" t="str">
        <x:v>4717 ORLET RD, WATERLOO, IL 62298
Parcel 16-24.0-300-012</x:v>
      </x:c>
      <x:c r="B30" s="15" t="n">
        <x:v>0</x:v>
      </x:c>
      <x:c r="C30" s="15" t="n">
        <x:v>33.2</x:v>
      </x:c>
      <x:c r="D30" s="13" t="n">
        <x:f>ROUND(C30-B30,2)</x:f>
        <x:v>33.2</x:v>
      </x:c>
    </x:row>
    <x:row r="31" ht="46" customHeight="1">
      <x:c r="A31" s="9" t="str">
        <x:v>0 TRAITEUR HILL LN, WATERLOO, IL 62298</x:v>
      </x:c>
      <x:c r="B31" s="11" t="n">
        <x:v>0</x:v>
      </x:c>
      <x:c r="C31" s="11" t="n">
        <x:v>4.39</x:v>
      </x:c>
      <x:c r="D31" s="13" t="n">
        <x:f>ROUND(C31-B31,2)</x:f>
        <x:v>4.39</x:v>
      </x:c>
    </x:row>
    <x:row r="32" ht="46" customHeight="1">
      <x:c r="A32" s="14" t="str">
        <x:v>3501 TRAITEUR HILL LN, WATERLOO, IL 62298</x:v>
      </x:c>
      <x:c r="B32" s="15" t="n">
        <x:v>0</x:v>
      </x:c>
      <x:c r="C32" s="15" t="n">
        <x:v>103.3</x:v>
      </x:c>
      <x:c r="D32" s="13" t="n">
        <x:f>ROUND(C32-B32,2)</x:f>
        <x:v>103.3</x:v>
      </x:c>
    </x:row>
    <x:row r="33" ht="46" customHeight="1">
      <x:c r="A33" s="9" t="str">
        <x:v>3523 TRAITEUR HILL LN, WATERLOO, IL 62298</x:v>
      </x:c>
      <x:c r="B33" s="11" t="n">
        <x:v>0</x:v>
      </x:c>
      <x:c r="C33" s="11" t="n">
        <x:v>39.89</x:v>
      </x:c>
      <x:c r="D33" s="13" t="n">
        <x:f>ROUND(C33-B33,2)</x:f>
        <x:v>39.89</x:v>
      </x:c>
    </x:row>
    <x:row r="34" ht="46" customHeight="1">
      <x:c r="A34" s="14" t="str">
        <x:v>3418 TRAITEURVILLE RANCH RD, WATERLOO, IL 62298</x:v>
      </x:c>
      <x:c r="B34" s="15" t="n">
        <x:v>0</x:v>
      </x:c>
      <x:c r="C34" s="15" t="n">
        <x:v>27.33</x:v>
      </x:c>
      <x:c r="D34" s="13" t="n">
        <x:f>ROUND(C34-B34,2)</x:f>
        <x:v>27.33</x:v>
      </x:c>
    </x:row>
  </x:sheetData>
  <x:sheetProtection algorithmName="SHA-512" hashValue="u9Ta4+XEOQjP11zK3Ct5yZMwdS7zu2PDFNhqWSQROw1qqLuVwLuEPW+aZThJzZkFUCL8J4wQcZ1ab2gLtLxF6A==" saltValue="MIgOqvKqcMaQuXfF8yfizg==" spinCount="100000" sheet="1" objects="1" scenarios="1"/>
  <x:pageMargins left="0.7" right="0.7" top="0.75" bottom="0.75" header="0.3" footer="0.3"/>
</x:worksheet>
</file>