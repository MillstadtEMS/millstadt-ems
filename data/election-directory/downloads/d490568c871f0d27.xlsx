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db74295514eea" /></Relationships>
</file>

<file path=xl/workbook.xml><?xml version="1.0" encoding="utf-8"?>
<x:workbook xmlns:x="http://schemas.openxmlformats.org/spreadsheetml/2006/main">
  <x:workbookProtection workbookAlgorithmName="SHA-512" workbookHashValue="p+171+Zz+tWoFsMOxjREXlNy/wOCVJBkUlXUtY9bxNEtBrlz3K8E0DDM8EFnXb17zBUMOOmac5Gkp8v2wyTRLw==" workbookSaltValue="Jq9ayaCuLVmjuASiyu9bIQ==" workbookSpinCount="100000" lockStructure="1"/>
  <x:sheets>
    <x:sheet xmlns:r="http://schemas.openxmlformats.org/officeDocument/2006/relationships" name="Annual EMS taxes" sheetId="1" r:id="R21b31003be4c4d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d4b81bd704371" /><Relationship Type="http://schemas.openxmlformats.org/officeDocument/2006/relationships/theme" Target="/xl/theme/theme1.xml" Id="Rfc2eaa4c52e14fbd" /><Relationship Type="http://schemas.openxmlformats.org/officeDocument/2006/relationships/sharedStrings" Target="/xl/sharedStrings.xml" Id="R82480cf4e96c49e2" /><Relationship Type="http://schemas.openxmlformats.org/officeDocument/2006/relationships/worksheet" Target="/xl/worksheets/sheet1.xml" Id="R21b31003be4c4d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26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4263 DOUGLAS RD, MILLSTADT, IL 62260
Parcel 12-26.0-100-005</x:v>
      </x:c>
      <x:c r="B7" s="11" t="n">
        <x:v>8.67</x:v>
      </x:c>
      <x:c r="C7" s="11" t="n">
        <x:v>28.91</x:v>
      </x:c>
      <x:c r="D7" s="13" t="n">
        <x:f>ROUND(C7-B7,2)</x:f>
        <x:v>20.24</x:v>
      </x:c>
    </x:row>
    <x:row r="8" ht="46" customHeight="1">
      <x:c r="A8" s="14" t="str">
        <x:v>5212 FLORAVILLE RD, MILLSTADT, IL 62260</x:v>
      </x:c>
      <x:c r="B8" s="15" t="n">
        <x:v>73.86</x:v>
      </x:c>
      <x:c r="C8" s="15" t="n">
        <x:v>246.2</x:v>
      </x:c>
      <x:c r="D8" s="13" t="n">
        <x:f>ROUND(C8-B8,2)</x:f>
        <x:v>172.34</x:v>
      </x:c>
    </x:row>
    <x:row r="9" ht="46" customHeight="1">
      <x:c r="A9" s="9" t="str">
        <x:v>5530 FLORAVILLE RD, MILLSTADT, IL 62260
Parcel 12-26.0-100-007</x:v>
      </x:c>
      <x:c r="B9" s="11" t="n">
        <x:v>72.16</x:v>
      </x:c>
      <x:c r="C9" s="11" t="n">
        <x:v>240.53</x:v>
      </x:c>
      <x:c r="D9" s="13" t="n">
        <x:f>ROUND(C9-B9,2)</x:f>
        <x:v>168.37</x:v>
      </x:c>
    </x:row>
    <x:row r="10" ht="46" customHeight="1">
      <x:c r="A10" s="14" t="str">
        <x:v>5530 FLORAVILLE RD, MILLSTADT, IL 62260
Parcel 12-26.0-200-005</x:v>
      </x:c>
      <x:c r="B10" s="15" t="n">
        <x:v>21.85</x:v>
      </x:c>
      <x:c r="C10" s="15" t="n">
        <x:v>72.83</x:v>
      </x:c>
      <x:c r="D10" s="13" t="n">
        <x:f>ROUND(C10-B10,2)</x:f>
        <x:v>50.98</x:v>
      </x:c>
    </x:row>
    <x:row r="11" ht="46" customHeight="1">
      <x:c r="A11" s="9" t="str">
        <x:v>4138 LEVY LN, MILLSTADT, IL 62260</x:v>
      </x:c>
      <x:c r="B11" s="11" t="n">
        <x:v>55.75</x:v>
      </x:c>
      <x:c r="C11" s="11" t="n">
        <x:v>185.83</x:v>
      </x:c>
      <x:c r="D11" s="13" t="n">
        <x:f>ROUND(C11-B11,2)</x:f>
        <x:v>130.08</x:v>
      </x:c>
    </x:row>
    <x:row r="12" ht="46" customHeight="1">
      <x:c r="A12" s="14" t="str">
        <x:v>4144 LEVY LN, MILLSTADT, IL 62260</x:v>
      </x:c>
      <x:c r="B12" s="15" t="n">
        <x:v>80.35</x:v>
      </x:c>
      <x:c r="C12" s="15" t="n">
        <x:v>267.82</x:v>
      </x:c>
      <x:c r="D12" s="13" t="n">
        <x:f>ROUND(C12-B12,2)</x:f>
        <x:v>187.47</x:v>
      </x:c>
    </x:row>
    <x:row r="13" ht="46" customHeight="1">
      <x:c r="A13" s="9" t="str">
        <x:v>4145 LEVY LN, MILLSTADT, IL 62260</x:v>
      </x:c>
      <x:c r="B13" s="11" t="n">
        <x:v>6.42</x:v>
      </x:c>
      <x:c r="C13" s="11" t="n">
        <x:v>21.38</x:v>
      </x:c>
      <x:c r="D13" s="13" t="n">
        <x:f>ROUND(C13-B13,2)</x:f>
        <x:v>14.96</x:v>
      </x:c>
    </x:row>
    <x:row r="14" ht="46" customHeight="1">
      <x:c r="A14" s="14" t="str">
        <x:v>4157 LEVY LN, MILLSTADT, IL 62260</x:v>
      </x:c>
      <x:c r="B14" s="15" t="n">
        <x:v>30.83</x:v>
      </x:c>
      <x:c r="C14" s="15" t="n">
        <x:v>102.76</x:v>
      </x:c>
      <x:c r="D14" s="13" t="n">
        <x:f>ROUND(C14-B14,2)</x:f>
        <x:v>71.93</x:v>
      </x:c>
    </x:row>
    <x:row r="15" ht="46" customHeight="1">
      <x:c r="A15" s="9" t="str">
        <x:v>4204 SCHWAB RD, MILLSTADT, IL 62260</x:v>
      </x:c>
      <x:c r="B15" s="11" t="n">
        <x:v>87.07</x:v>
      </x:c>
      <x:c r="C15" s="11" t="n">
        <x:v>290.22</x:v>
      </x:c>
      <x:c r="D15" s="13" t="n">
        <x:f>ROUND(C15-B15,2)</x:f>
        <x:v>203.15</x:v>
      </x:c>
    </x:row>
    <x:row r="16" ht="46" customHeight="1">
      <x:c r="A16" s="14" t="str">
        <x:v>4205 SCHWAB RD, MILLSTADT, IL 62260</x:v>
      </x:c>
      <x:c r="B16" s="15" t="n">
        <x:v>71.09</x:v>
      </x:c>
      <x:c r="C16" s="15" t="n">
        <x:v>236.96</x:v>
      </x:c>
      <x:c r="D16" s="13" t="n">
        <x:f>ROUND(C16-B16,2)</x:f>
        <x:v>165.87</x:v>
      </x:c>
    </x:row>
    <x:row r="17" ht="46" customHeight="1">
      <x:c r="A17" s="9" t="str">
        <x:v>4306 SCHWAB RD, MILLSTADT, IL 62260
Parcel 12-26.0-400-008</x:v>
      </x:c>
      <x:c r="B17" s="11" t="n">
        <x:v>50.91</x:v>
      </x:c>
      <x:c r="C17" s="11" t="n">
        <x:v>169.7</x:v>
      </x:c>
      <x:c r="D17" s="13" t="n">
        <x:f>ROUND(C17-B17,2)</x:f>
        <x:v>118.79</x:v>
      </x:c>
    </x:row>
    <x:row r="18" ht="46" customHeight="1">
      <x:c r="A18" s="14" t="str">
        <x:v>4306 SCHWAB RD, MILLSTADT, IL 62260
Parcel 12-26.0-400-028</x:v>
      </x:c>
      <x:c r="B18" s="15" t="n">
        <x:v>21.51</x:v>
      </x:c>
      <x:c r="C18" s="15" t="n">
        <x:v>71.7</x:v>
      </x:c>
      <x:c r="D18" s="13" t="n">
        <x:f>ROUND(C18-B18,2)</x:f>
        <x:v>50.19</x:v>
      </x:c>
    </x:row>
    <x:row r="19" ht="46" customHeight="1">
      <x:c r="A19" s="9" t="str">
        <x:v>4307 SCHWAB RD, MILLSTADT, IL 62260</x:v>
      </x:c>
      <x:c r="B19" s="11" t="n">
        <x:v>95.39</x:v>
      </x:c>
      <x:c r="C19" s="11" t="n">
        <x:v>317.98</x:v>
      </x:c>
      <x:c r="D19" s="13" t="n">
        <x:f>ROUND(C19-B19,2)</x:f>
        <x:v>222.59</x:v>
      </x:c>
    </x:row>
    <x:row r="20" ht="46" customHeight="1">
      <x:c r="A20" s="14" t="str">
        <x:v>4312 SCHWAB RD, MILLSTADT, IL 62260</x:v>
      </x:c>
      <x:c r="B20" s="15" t="n">
        <x:v>2.52</x:v>
      </x:c>
      <x:c r="C20" s="15" t="n">
        <x:v>8.41</x:v>
      </x:c>
      <x:c r="D20" s="13" t="n">
        <x:f>ROUND(C20-B20,2)</x:f>
        <x:v>5.89</x:v>
      </x:c>
    </x:row>
    <x:row r="21" ht="46" customHeight="1">
      <x:c r="A21" s="9" t="str">
        <x:v>4321 SCHWAB RD, MILLSTADT, IL 62260</x:v>
      </x:c>
      <x:c r="B21" s="11" t="n">
        <x:v>116.56</x:v>
      </x:c>
      <x:c r="C21" s="11" t="n">
        <x:v>388.55</x:v>
      </x:c>
      <x:c r="D21" s="13" t="n">
        <x:f>ROUND(C21-B21,2)</x:f>
        <x:v>271.99</x:v>
      </x:c>
    </x:row>
    <x:row r="22" ht="46" customHeight="1">
      <x:c r="A22" s="14" t="str">
        <x:v>4428 SCHWAB RD, MILLSTADT, IL 62260</x:v>
      </x:c>
      <x:c r="B22" s="15" t="n">
        <x:v>56.73</x:v>
      </x:c>
      <x:c r="C22" s="15" t="n">
        <x:v>189.09</x:v>
      </x:c>
      <x:c r="D22" s="13" t="n">
        <x:f>ROUND(C22-B22,2)</x:f>
        <x:v>132.36</x:v>
      </x:c>
    </x:row>
    <x:row r="23" ht="46" customHeight="1">
      <x:c r="A23" s="9" t="str">
        <x:v>6 SHADOW RIDGE POINTE, MILLSTADT, IL 62260</x:v>
      </x:c>
      <x:c r="B23" s="11" t="n">
        <x:v>0</x:v>
      </x:c>
      <x:c r="C23" s="11" t="n">
        <x:v>0</x:v>
      </x:c>
      <x:c r="D23" s="13" t="n">
        <x:f>ROUND(C23-B23,2)</x:f>
        <x:v>0</x:v>
      </x:c>
    </x:row>
    <x:row r="24" ht="46" customHeight="1">
      <x:c r="A24" s="14" t="str">
        <x:v>7 SHADOW RIDGE POINTE, MILLSTADT, IL 62260</x:v>
      </x:c>
      <x:c r="B24" s="15" t="n">
        <x:v>191.63</x:v>
      </x:c>
      <x:c r="C24" s="15" t="n">
        <x:v>638.78</x:v>
      </x:c>
      <x:c r="D24" s="13" t="n">
        <x:f>ROUND(C24-B24,2)</x:f>
        <x:v>447.15</x:v>
      </x:c>
    </x:row>
    <x:row r="25" ht="46" customHeight="1">
      <x:c r="A25" s="9" t="str">
        <x:v>10 SHADOW RIDGE POINTE, MILLSTADT, IL 62260</x:v>
      </x:c>
      <x:c r="B25" s="11" t="n">
        <x:v>245.67</x:v>
      </x:c>
      <x:c r="C25" s="11" t="n">
        <x:v>818.91</x:v>
      </x:c>
      <x:c r="D25" s="13" t="n">
        <x:f>ROUND(C25-B25,2)</x:f>
        <x:v>573.24</x:v>
      </x:c>
    </x:row>
    <x:row r="26" ht="46" customHeight="1">
      <x:c r="A26" s="14" t="str">
        <x:v>11 SHADOW RIDGE POINTE, MILLSTADT, IL 62260</x:v>
      </x:c>
      <x:c r="B26" s="15" t="n">
        <x:v>2.91</x:v>
      </x:c>
      <x:c r="C26" s="15" t="n">
        <x:v>9.69</x:v>
      </x:c>
      <x:c r="D26" s="13" t="n">
        <x:f>ROUND(C26-B26,2)</x:f>
        <x:v>6.78</x:v>
      </x:c>
    </x:row>
    <x:row r="27" ht="46" customHeight="1">
      <x:c r="A27" s="9" t="str">
        <x:v>2 SHADOW RIDGE PT, MILLSTADT, IL 62260</x:v>
      </x:c>
      <x:c r="B27" s="11" t="n">
        <x:v>110.54</x:v>
      </x:c>
      <x:c r="C27" s="11" t="n">
        <x:v>368.46</x:v>
      </x:c>
      <x:c r="D27" s="13" t="n">
        <x:f>ROUND(C27-B27,2)</x:f>
        <x:v>257.92</x:v>
      </x:c>
    </x:row>
    <x:row r="28" ht="46" customHeight="1">
      <x:c r="A28" s="14" t="str">
        <x:v>5 SUMMIT POINT LN, MILLSTADT, IL 62260</x:v>
      </x:c>
      <x:c r="B28" s="15" t="n">
        <x:v>104.46</x:v>
      </x:c>
      <x:c r="C28" s="15" t="n">
        <x:v>348.19</x:v>
      </x:c>
      <x:c r="D28" s="13" t="n">
        <x:f>ROUND(C28-B28,2)</x:f>
        <x:v>243.73</x:v>
      </x:c>
    </x:row>
    <x:row r="29" ht="46" customHeight="1">
      <x:c r="A29" s="9" t="str">
        <x:v>1 SUMMIT POINTE, MILLSTADT, IL 62260</x:v>
      </x:c>
      <x:c r="B29" s="11" t="n">
        <x:v>114.73</x:v>
      </x:c>
      <x:c r="C29" s="11" t="n">
        <x:v>382.43</x:v>
      </x:c>
      <x:c r="D29" s="13" t="n">
        <x:f>ROUND(C29-B29,2)</x:f>
        <x:v>267.7</x:v>
      </x:c>
    </x:row>
    <x:row r="30" ht="46" customHeight="1">
      <x:c r="A30" s="14" t="str">
        <x:v>9 SUMMIT POINTE, MILLSTADT, IL 62260</x:v>
      </x:c>
      <x:c r="B30" s="15" t="n">
        <x:v>137.76</x:v>
      </x:c>
      <x:c r="C30" s="15" t="n">
        <x:v>459.21</x:v>
      </x:c>
      <x:c r="D30" s="13" t="n">
        <x:f>ROUND(C30-B30,2)</x:f>
        <x:v>321.45</x:v>
      </x:c>
    </x:row>
  </x:sheetData>
  <x:sheetProtection algorithmName="SHA-512" hashValue="p+171+Zz+tWoFsMOxjREXlNy/wOCVJBkUlXUtY9bxNEtBrlz3K8E0DDM8EFnXb17zBUMOOmac5Gkp8v2wyTRLw==" saltValue="Jq9ayaCuLVmjuASiyu9bIQ==" spinCount="100000" sheet="1" objects="1" scenarios="1"/>
  <x:pageMargins left="0.7" right="0.7" top="0.75" bottom="0.75" header="0.3" footer="0.3"/>
</x:worksheet>
</file>