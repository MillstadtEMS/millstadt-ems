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b08418a20343d4" /></Relationships>
</file>

<file path=xl/workbook.xml><?xml version="1.0" encoding="utf-8"?>
<x:workbook xmlns:x="http://schemas.openxmlformats.org/spreadsheetml/2006/main">
  <x:workbookProtection workbookAlgorithmName="SHA-512" workbookHashValue="j03VcxoCmY6nEUf1LxijFZ026M6NAVW04uNJV5w+dW8SY+ysTbGwOPN4/Nxwc6etSd3QOJwLzXCj920o3AOZ3w==" workbookSaltValue="S8nKwGGVZ6m3i24iskPfag==" workbookSpinCount="100000" lockStructure="1"/>
  <x:sheets>
    <x:sheet xmlns:r="http://schemas.openxmlformats.org/officeDocument/2006/relationships" name="Annual EMS taxes" sheetId="1" r:id="R490be084bec44a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479ce350cd4ee7" /><Relationship Type="http://schemas.openxmlformats.org/officeDocument/2006/relationships/theme" Target="/xl/theme/theme1.xml" Id="Re20c81f592e94a43" /><Relationship Type="http://schemas.openxmlformats.org/officeDocument/2006/relationships/sharedStrings" Target="/xl/sharedStrings.xml" Id="Rfcc7efade23c40b0" /><Relationship Type="http://schemas.openxmlformats.org/officeDocument/2006/relationships/worksheet" Target="/xl/worksheets/sheet1.xml" Id="R490be084bec44a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STOOKEY TWP SEC 27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7741 CLIFF DR, BELLEVILLE, IL 62223</x:v>
      </x:c>
      <x:c r="B7" s="11" t="n">
        <x:v>58.66</x:v>
      </x:c>
      <x:c r="C7" s="11" t="n">
        <x:v>195.55</x:v>
      </x:c>
      <x:c r="D7" s="13" t="n">
        <x:f>ROUND(C7-B7,2)</x:f>
        <x:v>136.89</x:v>
      </x:c>
    </x:row>
    <x:row r="8" ht="46" customHeight="1">
      <x:c r="A8" s="14" t="str">
        <x:v>3010 CLOVERLEAF SCHOOL RD, BELLEVILLE, IL 62223
Parcel 07-27.0-100-004</x:v>
      </x:c>
      <x:c r="B8" s="15" t="n">
        <x:v>77.11</x:v>
      </x:c>
      <x:c r="C8" s="15" t="n">
        <x:v>257.02</x:v>
      </x:c>
      <x:c r="D8" s="13" t="n">
        <x:f>ROUND(C8-B8,2)</x:f>
        <x:v>179.91</x:v>
      </x:c>
    </x:row>
    <x:row r="9" ht="46" customHeight="1">
      <x:c r="A9" s="9" t="str">
        <x:v>3010 CLOVERLEAF SCHOOL RD, BELLEVILLE, IL 62223
Parcel 07-27.0-100-018</x:v>
      </x:c>
      <x:c r="B9" s="11" t="n">
        <x:v>10.57</x:v>
      </x:c>
      <x:c r="C9" s="11" t="n">
        <x:v>35.24</x:v>
      </x:c>
      <x:c r="D9" s="13" t="n">
        <x:f>ROUND(C9-B9,2)</x:f>
        <x:v>24.67</x:v>
      </x:c>
    </x:row>
    <x:row r="10" ht="46" customHeight="1">
      <x:c r="A10" s="14" t="str">
        <x:v>3104 CLOVERLEAF SCHOOL RD, BELLEVILLE, IL 62223</x:v>
      </x:c>
      <x:c r="B10" s="15" t="n">
        <x:v>96.92</x:v>
      </x:c>
      <x:c r="C10" s="15" t="n">
        <x:v>323.08</x:v>
      </x:c>
      <x:c r="D10" s="13" t="n">
        <x:f>ROUND(C10-B10,2)</x:f>
        <x:v>226.16</x:v>
      </x:c>
    </x:row>
    <x:row r="11" ht="46" customHeight="1">
      <x:c r="A11" s="9" t="str">
        <x:v>3150 CLOVERLEAF SCHOOL RD, BELLEVILLE, IL 62223</x:v>
      </x:c>
      <x:c r="B11" s="11" t="n">
        <x:v>88.53</x:v>
      </x:c>
      <x:c r="C11" s="11" t="n">
        <x:v>295.1</x:v>
      </x:c>
      <x:c r="D11" s="13" t="n">
        <x:f>ROUND(C11-B11,2)</x:f>
        <x:v>206.57</x:v>
      </x:c>
    </x:row>
    <x:row r="12" ht="46" customHeight="1">
      <x:c r="A12" s="14" t="str">
        <x:v>8009 CONCORDIA RD, BELLEVILLE, IL 62223
Parcel 07-27.0-200-005</x:v>
      </x:c>
      <x:c r="B12" s="15" t="n">
        <x:v>44.81</x:v>
      </x:c>
      <x:c r="C12" s="15" t="n">
        <x:v>149.36</x:v>
      </x:c>
      <x:c r="D12" s="13" t="n">
        <x:f>ROUND(C12-B12,2)</x:f>
        <x:v>104.55</x:v>
      </x:c>
    </x:row>
    <x:row r="13" ht="46" customHeight="1">
      <x:c r="A13" s="9" t="str">
        <x:v>8009 CONCORDIA RD, BELLEVILLE, IL 62223
Parcel 07-27.0-400-004</x:v>
      </x:c>
      <x:c r="B13" s="11" t="n">
        <x:v>10.21</x:v>
      </x:c>
      <x:c r="C13" s="11" t="n">
        <x:v>34.03</x:v>
      </x:c>
      <x:c r="D13" s="13" t="n">
        <x:f>ROUND(C13-B13,2)</x:f>
        <x:v>23.82</x:v>
      </x:c>
    </x:row>
    <x:row r="14" ht="46" customHeight="1">
      <x:c r="A14" s="14" t="str">
        <x:v>8303 CONCORDIA RD, BELLEVILLE, IL 62223</x:v>
      </x:c>
      <x:c r="B14" s="15" t="n">
        <x:v>66.1</x:v>
      </x:c>
      <x:c r="C14" s="15" t="n">
        <x:v>220.34</x:v>
      </x:c>
      <x:c r="D14" s="13" t="n">
        <x:f>ROUND(C14-B14,2)</x:f>
        <x:v>154.24</x:v>
      </x:c>
    </x:row>
    <x:row r="15" ht="46" customHeight="1">
      <x:c r="A15" s="9" t="str">
        <x:v>8501 CONCORDIA RD, BELLEVILLE, IL 62223</x:v>
      </x:c>
      <x:c r="B15" s="11" t="n">
        <x:v>84.25</x:v>
      </x:c>
      <x:c r="C15" s="11" t="n">
        <x:v>280.85</x:v>
      </x:c>
      <x:c r="D15" s="13" t="n">
        <x:f>ROUND(C15-B15,2)</x:f>
        <x:v>196.6</x:v>
      </x:c>
    </x:row>
    <x:row r="16" ht="46" customHeight="1">
      <x:c r="A16" s="14" t="str">
        <x:v>8601 CONCORDIA RD, BELLEVILLE, IL 62223</x:v>
      </x:c>
      <x:c r="B16" s="15" t="n">
        <x:v>16.83</x:v>
      </x:c>
      <x:c r="C16" s="15" t="n">
        <x:v>56.11</x:v>
      </x:c>
      <x:c r="D16" s="13" t="n">
        <x:f>ROUND(C16-B16,2)</x:f>
        <x:v>39.28</x:v>
      </x:c>
    </x:row>
    <x:row r="17" ht="46" customHeight="1">
      <x:c r="A17" s="9" t="str">
        <x:v>8787 CONCORDIA RD, BELLEVILLE, IL 62223
Parcel 07-27.0-300-005</x:v>
      </x:c>
      <x:c r="B17" s="11" t="n">
        <x:v>73.4</x:v>
      </x:c>
      <x:c r="C17" s="11" t="n">
        <x:v>244.68</x:v>
      </x:c>
      <x:c r="D17" s="13" t="n">
        <x:f>ROUND(C17-B17,2)</x:f>
        <x:v>171.28</x:v>
      </x:c>
    </x:row>
    <x:row r="18" ht="46" customHeight="1">
      <x:c r="A18" s="14" t="str">
        <x:v>8787 CONCORDIA RD, BELLEVILLE, IL 62223
Parcel 07-27.0-300-012</x:v>
      </x:c>
      <x:c r="B18" s="15" t="n">
        <x:v>10.35</x:v>
      </x:c>
      <x:c r="C18" s="15" t="n">
        <x:v>34.51</x:v>
      </x:c>
      <x:c r="D18" s="13" t="n">
        <x:f>ROUND(C18-B18,2)</x:f>
        <x:v>24.16</x:v>
      </x:c>
    </x:row>
    <x:row r="19" ht="46" customHeight="1">
      <x:c r="A19" s="9" t="str">
        <x:v>9101 CONCORDIA RD, BELLEVILLE, IL 62223</x:v>
      </x:c>
      <x:c r="B19" s="11" t="n">
        <x:v>77.99</x:v>
      </x:c>
      <x:c r="C19" s="11" t="n">
        <x:v>259.97</x:v>
      </x:c>
      <x:c r="D19" s="13" t="n">
        <x:f>ROUND(C19-B19,2)</x:f>
        <x:v>181.98</x:v>
      </x:c>
    </x:row>
  </x:sheetData>
  <x:sheetProtection algorithmName="SHA-512" hashValue="j03VcxoCmY6nEUf1LxijFZ026M6NAVW04uNJV5w+dW8SY+ysTbGwOPN4/Nxwc6etSd3QOJwLzXCj920o3AOZ3w==" saltValue="S8nKwGGVZ6m3i24iskPfag==" spinCount="100000" sheet="1" objects="1" scenarios="1"/>
  <x:pageMargins left="0.7" right="0.7" top="0.75" bottom="0.75" header="0.3" footer="0.3"/>
</x:worksheet>
</file>