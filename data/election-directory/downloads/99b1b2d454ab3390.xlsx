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e3004d4688442e" /></Relationships>
</file>

<file path=xl/workbook.xml><?xml version="1.0" encoding="utf-8"?>
<x:workbook xmlns:x="http://schemas.openxmlformats.org/spreadsheetml/2006/main">
  <x:workbookProtection workbookAlgorithmName="SHA-512" workbookHashValue="CkYocSHBJ2njrBshx3yEzZbp2uT/g0cBx5OdTP/XZdZ2UfVbhE+vPgVGZthBkh6YBKXUuhnyEkvLq6ucsEXwSw==" workbookSaltValue="ypGe9S6TGkP+gjsOnqHfIA==" workbookSpinCount="100000" lockStructure="1"/>
  <x:sheets>
    <x:sheet xmlns:r="http://schemas.openxmlformats.org/officeDocument/2006/relationships" name="Annual EMS taxes" sheetId="1" r:id="R464afa7baee34b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05d9e61e5c4dfd" /><Relationship Type="http://schemas.openxmlformats.org/officeDocument/2006/relationships/theme" Target="/xl/theme/theme1.xml" Id="Ra942c92e2ff84f2f" /><Relationship Type="http://schemas.openxmlformats.org/officeDocument/2006/relationships/sharedStrings" Target="/xl/sharedStrings.xml" Id="R6e578afac5944258" /><Relationship Type="http://schemas.openxmlformats.org/officeDocument/2006/relationships/worksheet" Target="/xl/worksheets/sheet1.xml" Id="R464afa7baee34b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STOOKEY TWP SEC 16 &amp;17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1300 EILER RD, BELLEVILLE, IL 62223
Parcel 07-16.0-202-013</x:v>
      </x:c>
      <x:c r="B7" s="11" t="n">
        <x:v>52.76</x:v>
      </x:c>
      <x:c r="C7" s="11" t="n">
        <x:v>175.86</x:v>
      </x:c>
      <x:c r="D7" s="13" t="n">
        <x:f>ROUND(C7-B7,2)</x:f>
        <x:v>123.1</x:v>
      </x:c>
    </x:row>
    <x:row r="8" ht="46" customHeight="1">
      <x:c r="A8" s="14" t="str">
        <x:v>1411 EILER RD, BELLEVILLE, IL 62223</x:v>
      </x:c>
      <x:c r="B8" s="15" t="n">
        <x:v>259.57</x:v>
      </x:c>
      <x:c r="C8" s="15" t="n">
        <x:v>865.22</x:v>
      </x:c>
      <x:c r="D8" s="13" t="n">
        <x:f>ROUND(C8-B8,2)</x:f>
        <x:v>605.65</x:v>
      </x:c>
    </x:row>
    <x:row r="9" ht="46" customHeight="1">
      <x:c r="A9" s="9" t="str">
        <x:v>1412 EILER RD, BELLEVILLE, IL 62223
Parcel 07-16.0-202-002</x:v>
      </x:c>
      <x:c r="B9" s="11" t="n">
        <x:v>61.43</x:v>
      </x:c>
      <x:c r="C9" s="11" t="n">
        <x:v>204.77</x:v>
      </x:c>
      <x:c r="D9" s="13" t="n">
        <x:f>ROUND(C9-B9,2)</x:f>
        <x:v>143.34</x:v>
      </x:c>
    </x:row>
    <x:row r="10" ht="46" customHeight="1">
      <x:c r="A10" s="14" t="str">
        <x:v>1412 EILER RD, BELLEVILLE, IL 62223
Parcel 07-16.0-202-003</x:v>
      </x:c>
      <x:c r="B10" s="15" t="n">
        <x:v>0.32</x:v>
      </x:c>
      <x:c r="C10" s="15" t="n">
        <x:v>1.05</x:v>
      </x:c>
      <x:c r="D10" s="13" t="n">
        <x:f>ROUND(C10-B10,2)</x:f>
        <x:v>0.73</x:v>
      </x:c>
    </x:row>
    <x:row r="11" ht="46" customHeight="1">
      <x:c r="A11" s="9" t="str">
        <x:v>1500 EILER RD, BELLEVILLE, IL 62223</x:v>
      </x:c>
      <x:c r="B11" s="11" t="n">
        <x:v>87.85</x:v>
      </x:c>
      <x:c r="C11" s="11" t="n">
        <x:v>292.84</x:v>
      </x:c>
      <x:c r="D11" s="13" t="n">
        <x:f>ROUND(C11-B11,2)</x:f>
        <x:v>204.99</x:v>
      </x:c>
    </x:row>
    <x:row r="12" ht="46" customHeight="1">
      <x:c r="A12" s="14" t="str">
        <x:v>1513 EILER RD, BELLEVILLE, IL 62223</x:v>
      </x:c>
      <x:c r="B12" s="15" t="n">
        <x:v>64.4</x:v>
      </x:c>
      <x:c r="C12" s="15" t="n">
        <x:v>214.66</x:v>
      </x:c>
      <x:c r="D12" s="13" t="n">
        <x:f>ROUND(C12-B12,2)</x:f>
        <x:v>150.26</x:v>
      </x:c>
    </x:row>
    <x:row r="13" ht="46" customHeight="1">
      <x:c r="A13" s="9" t="str">
        <x:v>1600 EILER RD, BELLEVILLE, IL 62223</x:v>
      </x:c>
      <x:c r="B13" s="11" t="n">
        <x:v>0</x:v>
      </x:c>
      <x:c r="C13" s="11" t="n">
        <x:v>0</x:v>
      </x:c>
      <x:c r="D13" s="13" t="n">
        <x:f>ROUND(C13-B13,2)</x:f>
        <x:v>0</x:v>
      </x:c>
    </x:row>
    <x:row r="14" ht="46" customHeight="1">
      <x:c r="A14" s="14" t="str">
        <x:v>1604 EILER RD, BELLEVILLE, IL 62223</x:v>
      </x:c>
      <x:c r="B14" s="15" t="n">
        <x:v>85.66</x:v>
      </x:c>
      <x:c r="C14" s="15" t="n">
        <x:v>285.53</x:v>
      </x:c>
      <x:c r="D14" s="13" t="n">
        <x:f>ROUND(C14-B14,2)</x:f>
        <x:v>199.87</x:v>
      </x:c>
    </x:row>
    <x:row r="15" ht="46" customHeight="1">
      <x:c r="A15" s="9" t="str">
        <x:v>1616 EILER RD, BELLEVILLE, IL 62223</x:v>
      </x:c>
      <x:c r="B15" s="11" t="n">
        <x:v>127.6</x:v>
      </x:c>
      <x:c r="C15" s="11" t="n">
        <x:v>425.33</x:v>
      </x:c>
      <x:c r="D15" s="13" t="n">
        <x:f>ROUND(C15-B15,2)</x:f>
        <x:v>297.73</x:v>
      </x:c>
    </x:row>
    <x:row r="16" ht="46" customHeight="1">
      <x:c r="A16" s="14" t="str">
        <x:v>1725 EILER RD, BELLEVILLE, IL 62223</x:v>
      </x:c>
      <x:c r="B16" s="15" t="n">
        <x:v>52.97</x:v>
      </x:c>
      <x:c r="C16" s="15" t="n">
        <x:v>176.57</x:v>
      </x:c>
      <x:c r="D16" s="13" t="n">
        <x:f>ROUND(C16-B16,2)</x:f>
        <x:v>123.6</x:v>
      </x:c>
    </x:row>
    <x:row r="17" ht="46" customHeight="1">
      <x:c r="A17" s="9" t="str">
        <x:v>1801 EILER RD, BELLEVILLE, IL 62223</x:v>
      </x:c>
      <x:c r="B17" s="11" t="n">
        <x:v>79.4</x:v>
      </x:c>
      <x:c r="C17" s="11" t="n">
        <x:v>264.65</x:v>
      </x:c>
      <x:c r="D17" s="13" t="n">
        <x:f>ROUND(C17-B17,2)</x:f>
        <x:v>185.25</x:v>
      </x:c>
    </x:row>
    <x:row r="18" ht="46" customHeight="1">
      <x:c r="A18" s="14" t="str">
        <x:v>8624 LE PERE SCHOOL RD, MILLSTADT, IL 62260</x:v>
      </x:c>
      <x:c r="B18" s="15" t="n">
        <x:v>45.59</x:v>
      </x:c>
      <x:c r="C18" s="15" t="n">
        <x:v>151.98</x:v>
      </x:c>
      <x:c r="D18" s="13" t="n">
        <x:f>ROUND(C18-B18,2)</x:f>
        <x:v>106.39</x:v>
      </x:c>
    </x:row>
    <x:row r="19" ht="46" customHeight="1">
      <x:c r="A19" s="9" t="str">
        <x:v>8636 LE PERE SCHOOL RD, MILLSTADT, IL 62260</x:v>
      </x:c>
      <x:c r="B19" s="11" t="n">
        <x:v>61.01</x:v>
      </x:c>
      <x:c r="C19" s="11" t="n">
        <x:v>203.36</x:v>
      </x:c>
      <x:c r="D19" s="13" t="n">
        <x:f>ROUND(C19-B19,2)</x:f>
        <x:v>142.35</x:v>
      </x:c>
    </x:row>
    <x:row r="20" ht="46" customHeight="1">
      <x:c r="A20" s="14" t="str">
        <x:v>8648 LE PERE SCHOOL RD, MILLSTADT, IL 62260</x:v>
      </x:c>
      <x:c r="B20" s="15" t="n">
        <x:v>12.39</x:v>
      </x:c>
      <x:c r="C20" s="15" t="n">
        <x:v>41.31</x:v>
      </x:c>
      <x:c r="D20" s="13" t="n">
        <x:f>ROUND(C20-B20,2)</x:f>
        <x:v>28.92</x:v>
      </x:c>
    </x:row>
    <x:row r="21" ht="46" customHeight="1">
      <x:c r="A21" s="9" t="str">
        <x:v>8691 LE PERE SCHOOL RD, BELLEVILLE, IL 62223</x:v>
      </x:c>
      <x:c r="B21" s="11" t="n">
        <x:v>40.66</x:v>
      </x:c>
      <x:c r="C21" s="11" t="n">
        <x:v>135.55</x:v>
      </x:c>
      <x:c r="D21" s="13" t="n">
        <x:f>ROUND(C21-B21,2)</x:f>
        <x:v>94.89</x:v>
      </x:c>
    </x:row>
    <x:row r="22" ht="46" customHeight="1">
      <x:c r="A22" s="14" t="str">
        <x:v>8816 LE PERE SCHOOL RD, MILLSTADT, IL 62260</x:v>
      </x:c>
      <x:c r="B22" s="15" t="n">
        <x:v>48.1</x:v>
      </x:c>
      <x:c r="C22" s="15" t="n">
        <x:v>160.32</x:v>
      </x:c>
      <x:c r="D22" s="13" t="n">
        <x:f>ROUND(C22-B22,2)</x:f>
        <x:v>112.22</x:v>
      </x:c>
    </x:row>
    <x:row r="23" ht="46" customHeight="1">
      <x:c r="A23" s="9" t="str">
        <x:v>8568 STATE RT 163, BELLEVILLE, IL 62223</x:v>
      </x:c>
      <x:c r="B23" s="11" t="n">
        <x:v>6.87</x:v>
      </x:c>
      <x:c r="C23" s="11" t="n">
        <x:v>22.9</x:v>
      </x:c>
      <x:c r="D23" s="13" t="n">
        <x:f>ROUND(C23-B23,2)</x:f>
        <x:v>16.03</x:v>
      </x:c>
    </x:row>
    <x:row r="24" ht="46" customHeight="1">
      <x:c r="A24" s="14" t="str">
        <x:v>8646 STATE RT 163, BELLEVILLE, IL 62223</x:v>
      </x:c>
      <x:c r="B24" s="15" t="n">
        <x:v>94.18</x:v>
      </x:c>
      <x:c r="C24" s="15" t="n">
        <x:v>313.93</x:v>
      </x:c>
      <x:c r="D24" s="13" t="n">
        <x:f>ROUND(C24-B24,2)</x:f>
        <x:v>219.75</x:v>
      </x:c>
    </x:row>
    <x:row r="25" ht="46" customHeight="1">
      <x:c r="A25" s="9" t="str">
        <x:v>8723 STATE RT 163, MILLSTADT, IL 62260</x:v>
      </x:c>
      <x:c r="B25" s="11" t="n">
        <x:v>73.23</x:v>
      </x:c>
      <x:c r="C25" s="11" t="n">
        <x:v>244.09</x:v>
      </x:c>
      <x:c r="D25" s="13" t="n">
        <x:f>ROUND(C25-B25,2)</x:f>
        <x:v>170.86</x:v>
      </x:c>
    </x:row>
    <x:row r="26" ht="46" customHeight="1">
      <x:c r="A26" s="14" t="str">
        <x:v>8501 STATE RTE 163, BELLEVILLE, IL 62223</x:v>
      </x:c>
      <x:c r="B26" s="15" t="n">
        <x:v>87.23</x:v>
      </x:c>
      <x:c r="C26" s="15" t="n">
        <x:v>290.78</x:v>
      </x:c>
      <x:c r="D26" s="13" t="n">
        <x:f>ROUND(C26-B26,2)</x:f>
        <x:v>203.55</x:v>
      </x:c>
    </x:row>
    <x:row r="27" ht="46" customHeight="1">
      <x:c r="A27" s="9" t="str">
        <x:v>8703 STATE RTE 163, MILLSTADT, IL 62260</x:v>
      </x:c>
      <x:c r="B27" s="11" t="n">
        <x:v>41.66</x:v>
      </x:c>
      <x:c r="C27" s="11" t="n">
        <x:v>138.88</x:v>
      </x:c>
      <x:c r="D27" s="13" t="n">
        <x:f>ROUND(C27-B27,2)</x:f>
        <x:v>97.22</x:v>
      </x:c>
    </x:row>
    <x:row r="28" ht="46" customHeight="1">
      <x:c r="A28" s="14" t="str">
        <x:v>8707 STATE RTE 163, MILLSTADT, IL 62260</x:v>
      </x:c>
      <x:c r="B28" s="15" t="n">
        <x:v>58.57</x:v>
      </x:c>
      <x:c r="C28" s="15" t="n">
        <x:v>195.24</x:v>
      </x:c>
      <x:c r="D28" s="13" t="n">
        <x:f>ROUND(C28-B28,2)</x:f>
        <x:v>136.67</x:v>
      </x:c>
    </x:row>
    <x:row r="29" ht="46" customHeight="1">
      <x:c r="A29" s="9" t="str">
        <x:v>8715 STATE RTE 163, MILLSTADT, IL 62260</x:v>
      </x:c>
      <x:c r="B29" s="11" t="n">
        <x:v>43.96</x:v>
      </x:c>
      <x:c r="C29" s="11" t="n">
        <x:v>146.54</x:v>
      </x:c>
      <x:c r="D29" s="13" t="n">
        <x:f>ROUND(C29-B29,2)</x:f>
        <x:v>102.58</x:v>
      </x:c>
    </x:row>
    <x:row r="30" ht="46" customHeight="1">
      <x:c r="A30" s="14" t="str">
        <x:v>8719 STATE RTE 163, MILLSTADT, IL 62260</x:v>
      </x:c>
      <x:c r="B30" s="15" t="n">
        <x:v>72.82</x:v>
      </x:c>
      <x:c r="C30" s="15" t="n">
        <x:v>242.74</x:v>
      </x:c>
      <x:c r="D30" s="13" t="n">
        <x:f>ROUND(C30-B30,2)</x:f>
        <x:v>169.92</x:v>
      </x:c>
    </x:row>
    <x:row r="31" ht="46" customHeight="1">
      <x:c r="A31" s="9" t="str">
        <x:v>8755 STATE RTE 163, MILLSTADT, IL 62260
Parcel 07-16.0-104-029</x:v>
      </x:c>
      <x:c r="B31" s="11" t="n">
        <x:v>48.37</x:v>
      </x:c>
      <x:c r="C31" s="11" t="n">
        <x:v>161.22</x:v>
      </x:c>
      <x:c r="D31" s="13" t="n">
        <x:f>ROUND(C31-B31,2)</x:f>
        <x:v>112.85</x:v>
      </x:c>
    </x:row>
    <x:row r="32" ht="46" customHeight="1">
      <x:c r="A32" s="14" t="str">
        <x:v>8755 STATE RTE 163, MILLSTADT, IL 62260
Parcel 07-16.0-104-030</x:v>
      </x:c>
      <x:c r="B32" s="15" t="n">
        <x:v>2.85</x:v>
      </x:c>
      <x:c r="C32" s="15" t="n">
        <x:v>9.49</x:v>
      </x:c>
      <x:c r="D32" s="13" t="n">
        <x:f>ROUND(C32-B32,2)</x:f>
        <x:v>6.64</x:v>
      </x:c>
    </x:row>
    <x:row r="33" ht="46" customHeight="1">
      <x:c r="A33" s="9" t="str">
        <x:v>8755 STATE RTE 163, MILLSTADT, IL 62260
Parcel 07-16.0-104-031</x:v>
      </x:c>
      <x:c r="B33" s="11" t="n">
        <x:v>3.74</x:v>
      </x:c>
      <x:c r="C33" s="11" t="n">
        <x:v>12.48</x:v>
      </x:c>
      <x:c r="D33" s="13" t="n">
        <x:f>ROUND(C33-B33,2)</x:f>
        <x:v>8.74</x:v>
      </x:c>
    </x:row>
    <x:row r="34" ht="46" customHeight="1">
      <x:c r="A34" s="14" t="str">
        <x:v>28 SUNSET DR, MILLSTADT, IL 62260</x:v>
      </x:c>
      <x:c r="B34" s="15" t="n">
        <x:v>56.41</x:v>
      </x:c>
      <x:c r="C34" s="15" t="n">
        <x:v>188.04</x:v>
      </x:c>
      <x:c r="D34" s="13" t="n">
        <x:f>ROUND(C34-B34,2)</x:f>
        <x:v>131.63</x:v>
      </x:c>
    </x:row>
    <x:row r="35" ht="46" customHeight="1">
      <x:c r="A35" s="9" t="str">
        <x:v>36 SUNSET DR, MILLSTADT, IL 62260</x:v>
      </x:c>
      <x:c r="B35" s="11" t="n">
        <x:v>6.51</x:v>
      </x:c>
      <x:c r="C35" s="11" t="n">
        <x:v>21.7</x:v>
      </x:c>
      <x:c r="D35" s="13" t="n">
        <x:f>ROUND(C35-B35,2)</x:f>
        <x:v>15.19</x:v>
      </x:c>
    </x:row>
    <x:row r="36" ht="46" customHeight="1">
      <x:c r="A36" s="14" t="str">
        <x:v>7119 TOWN HALL RD, BELLEVILLE, IL 62223</x:v>
      </x:c>
      <x:c r="B36" s="15" t="n">
        <x:v>23.59</x:v>
      </x:c>
      <x:c r="C36" s="15" t="n">
        <x:v>78.65</x:v>
      </x:c>
      <x:c r="D36" s="13" t="n">
        <x:f>ROUND(C36-B36,2)</x:f>
        <x:v>55.06</x:v>
      </x:c>
    </x:row>
    <x:row r="37" ht="46" customHeight="1">
      <x:c r="A37" s="9" t="str">
        <x:v>7123 TOWN HALL RD, BELLEVILLE, IL 62223</x:v>
      </x:c>
      <x:c r="B37" s="11" t="n">
        <x:v>20.81</x:v>
      </x:c>
      <x:c r="C37" s="11" t="n">
        <x:v>69.36</x:v>
      </x:c>
      <x:c r="D37" s="13" t="n">
        <x:f>ROUND(C37-B37,2)</x:f>
        <x:v>48.55</x:v>
      </x:c>
    </x:row>
    <x:row r="38" ht="46" customHeight="1">
      <x:c r="A38" s="14" t="str">
        <x:v>7217 TOWN HALL RD, BELLEVILLE, IL 62223</x:v>
      </x:c>
      <x:c r="B38" s="15" t="n">
        <x:v>37.04</x:v>
      </x:c>
      <x:c r="C38" s="15" t="n">
        <x:v>123.46</x:v>
      </x:c>
      <x:c r="D38" s="13" t="n">
        <x:f>ROUND(C38-B38,2)</x:f>
        <x:v>86.42</x:v>
      </x:c>
    </x:row>
  </x:sheetData>
  <x:sheetProtection algorithmName="SHA-512" hashValue="CkYocSHBJ2njrBshx3yEzZbp2uT/g0cBx5OdTP/XZdZ2UfVbhE+vPgVGZthBkh6YBKXUuhnyEkvLq6ucsEXwSw==" saltValue="ypGe9S6TGkP+gjsOnqHfIA==" spinCount="100000" sheet="1" objects="1" scenarios="1"/>
  <x:pageMargins left="0.7" right="0.7" top="0.75" bottom="0.75" header="0.3" footer="0.3"/>
</x:worksheet>
</file>