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88dfd480144e62" /></Relationships>
</file>

<file path=xl/workbook.xml><?xml version="1.0" encoding="utf-8"?>
<x:workbook xmlns:x="http://schemas.openxmlformats.org/spreadsheetml/2006/main">
  <x:workbookProtection workbookAlgorithmName="SHA-512" workbookHashValue="biwNj9PkcMMsmSChHiMH53n1byQSW9h8iqSx5CLbnWuhxmljUlSDDocHXRYL8lCbCnKjHkFyBVqMA/5L6UfZyg==" workbookSaltValue="yaCSImt7MkDgywVLUzc6qg==" workbookSpinCount="100000" lockStructure="1"/>
  <x:sheets>
    <x:sheet xmlns:r="http://schemas.openxmlformats.org/officeDocument/2006/relationships" name="Annual EMS taxes" sheetId="1" r:id="R48528262fe284a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ee3efa37f54fc1" /><Relationship Type="http://schemas.openxmlformats.org/officeDocument/2006/relationships/theme" Target="/xl/theme/theme1.xml" Id="Rf8a4d446a2184606" /><Relationship Type="http://schemas.openxmlformats.org/officeDocument/2006/relationships/sharedStrings" Target="/xl/sharedStrings.xml" Id="Rba75d99a4d8642c5" /><Relationship Type="http://schemas.openxmlformats.org/officeDocument/2006/relationships/worksheet" Target="/xl/worksheets/sheet1.xml" Id="R48528262fe284ae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STOOKEY TWP SEC 22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2742 CLOVERLEAF SCHOOL RD, BELLEVILLE, IL 62223</x:v>
      </x:c>
      <x:c r="B7" s="11" t="n">
        <x:v>27.23</x:v>
      </x:c>
      <x:c r="C7" s="11" t="n">
        <x:v>90.76</x:v>
      </x:c>
      <x:c r="D7" s="13" t="n">
        <x:f>ROUND(C7-B7,2)</x:f>
        <x:v>63.53</x:v>
      </x:c>
    </x:row>
    <x:row r="8" ht="46" customHeight="1">
      <x:c r="A8" s="14" t="str">
        <x:v>2746 CLOVERLEAF SCHOOL RD, BELLEVILLE, IL 62223</x:v>
      </x:c>
      <x:c r="B8" s="15" t="n">
        <x:v>39.35</x:v>
      </x:c>
      <x:c r="C8" s="15" t="n">
        <x:v>131.18</x:v>
      </x:c>
      <x:c r="D8" s="13" t="n">
        <x:f>ROUND(C8-B8,2)</x:f>
        <x:v>91.83</x:v>
      </x:c>
    </x:row>
    <x:row r="9" ht="46" customHeight="1">
      <x:c r="A9" s="9" t="str">
        <x:v>3009 CLOVERLEAF SCHOOL RD, BELLEVILLE, IL 62223</x:v>
      </x:c>
      <x:c r="B9" s="11" t="n">
        <x:v>64.99</x:v>
      </x:c>
      <x:c r="C9" s="11" t="n">
        <x:v>216.63</x:v>
      </x:c>
      <x:c r="D9" s="13" t="n">
        <x:f>ROUND(C9-B9,2)</x:f>
        <x:v>151.64</x:v>
      </x:c>
    </x:row>
    <x:row r="10" ht="46" customHeight="1">
      <x:c r="A10" s="14" t="str">
        <x:v>3107 CLOVERLEAF SCHOOL RD, BELLEVILLE, IL 62223</x:v>
      </x:c>
      <x:c r="B10" s="15" t="n">
        <x:v>69.99</x:v>
      </x:c>
      <x:c r="C10" s="15" t="n">
        <x:v>233.31</x:v>
      </x:c>
      <x:c r="D10" s="13" t="n">
        <x:f>ROUND(C10-B10,2)</x:f>
        <x:v>163.32</x:v>
      </x:c>
    </x:row>
    <x:row r="11" ht="46" customHeight="1">
      <x:c r="A11" s="9" t="str">
        <x:v>3151 CLOVERLEAF SCHOOL RD, BELLEVILLE, IL 62223
Parcel 07-22.0-300-008</x:v>
      </x:c>
      <x:c r="B11" s="11" t="n">
        <x:v>148.38</x:v>
      </x:c>
      <x:c r="C11" s="11" t="n">
        <x:v>494.59</x:v>
      </x:c>
      <x:c r="D11" s="13" t="n">
        <x:f>ROUND(C11-B11,2)</x:f>
        <x:v>346.21</x:v>
      </x:c>
    </x:row>
    <x:row r="12" ht="46" customHeight="1">
      <x:c r="A12" s="14" t="str">
        <x:v>3151 CLOVERLEAF SCHOOL RD, BELLEVILLE, IL 62223
Parcel 07-22.0-300-011</x:v>
      </x:c>
      <x:c r="B12" s="15" t="n">
        <x:v>13.79</x:v>
      </x:c>
      <x:c r="C12" s="15" t="n">
        <x:v>45.97</x:v>
      </x:c>
      <x:c r="D12" s="13" t="n">
        <x:f>ROUND(C12-B12,2)</x:f>
        <x:v>32.18</x:v>
      </x:c>
    </x:row>
    <x:row r="13" ht="46" customHeight="1">
      <x:c r="A13" s="9" t="str">
        <x:v>3151 CLOVERLEAF SCHOOL RD, BELLEVILLE, IL 62223
Parcel 07-22.0-300-012</x:v>
      </x:c>
      <x:c r="B13" s="11" t="n">
        <x:v>69.46</x:v>
      </x:c>
      <x:c r="C13" s="11" t="n">
        <x:v>231.54</x:v>
      </x:c>
      <x:c r="D13" s="13" t="n">
        <x:f>ROUND(C13-B13,2)</x:f>
        <x:v>162.08</x:v>
      </x:c>
    </x:row>
    <x:row r="14" ht="46" customHeight="1">
      <x:c r="A14" s="14" t="str">
        <x:v>8105 PECAN TREE LN, BELLEVILLE, IL 62223</x:v>
      </x:c>
      <x:c r="B14" s="15" t="n">
        <x:v>123.74</x:v>
      </x:c>
      <x:c r="C14" s="15" t="n">
        <x:v>412.48</x:v>
      </x:c>
      <x:c r="D14" s="13" t="n">
        <x:f>ROUND(C14-B14,2)</x:f>
        <x:v>288.74</x:v>
      </x:c>
    </x:row>
    <x:row r="15" ht="46" customHeight="1">
      <x:c r="A15" s="9" t="str">
        <x:v>6719 TOWN HALL RD, BELLEVILLE, IL 62223</x:v>
      </x:c>
      <x:c r="B15" s="11" t="n">
        <x:v>53.18</x:v>
      </x:c>
      <x:c r="C15" s="11" t="n">
        <x:v>177.28</x:v>
      </x:c>
      <x:c r="D15" s="13" t="n">
        <x:f>ROUND(C15-B15,2)</x:f>
        <x:v>124.1</x:v>
      </x:c>
    </x:row>
    <x:row r="16" ht="46" customHeight="1">
      <x:c r="A16" s="14" t="str">
        <x:v>6802 TOWN HALL RD, BELLEVILLE, IL 62223
Parcel 07-22.0-200-006</x:v>
      </x:c>
      <x:c r="B16" s="15" t="n">
        <x:v>26.24</x:v>
      </x:c>
      <x:c r="C16" s="15" t="n">
        <x:v>87.45</x:v>
      </x:c>
      <x:c r="D16" s="13" t="n">
        <x:f>ROUND(C16-B16,2)</x:f>
        <x:v>61.21</x:v>
      </x:c>
    </x:row>
    <x:row r="17" ht="46" customHeight="1">
      <x:c r="A17" s="9" t="str">
        <x:v>6802 TOWN HALL RD, BELLEVILLE, IL 62223
Parcel 07-22.0-400-001</x:v>
      </x:c>
      <x:c r="B17" s="11" t="n">
        <x:v>2</x:v>
      </x:c>
      <x:c r="C17" s="11" t="n">
        <x:v>6.67</x:v>
      </x:c>
      <x:c r="D17" s="13" t="n">
        <x:f>ROUND(C17-B17,2)</x:f>
        <x:v>4.67</x:v>
      </x:c>
    </x:row>
    <x:row r="18" ht="46" customHeight="1">
      <x:c r="A18" s="14" t="str">
        <x:v>6835 TOWN HALL RD, BELLEVILLE, IL 62223</x:v>
      </x:c>
      <x:c r="B18" s="15" t="n">
        <x:v>102.29</x:v>
      </x:c>
      <x:c r="C18" s="15" t="n">
        <x:v>340.95</x:v>
      </x:c>
      <x:c r="D18" s="13" t="n">
        <x:f>ROUND(C18-B18,2)</x:f>
        <x:v>238.66</x:v>
      </x:c>
    </x:row>
    <x:row r="19" ht="46" customHeight="1">
      <x:c r="A19" s="9" t="str">
        <x:v>6908 TOWN HALL RD, BELLEVILLE, IL 62223</x:v>
      </x:c>
      <x:c r="B19" s="11" t="n">
        <x:v>47.98</x:v>
      </x:c>
      <x:c r="C19" s="11" t="n">
        <x:v>159.95</x:v>
      </x:c>
      <x:c r="D19" s="13" t="n">
        <x:f>ROUND(C19-B19,2)</x:f>
        <x:v>111.97</x:v>
      </x:c>
    </x:row>
    <x:row r="20" ht="46" customHeight="1">
      <x:c r="A20" s="14" t="str">
        <x:v>6914 TOWN HALL RD, BELLEVILLE, IL 62223</x:v>
      </x:c>
      <x:c r="B20" s="15" t="n">
        <x:v>81.57</x:v>
      </x:c>
      <x:c r="C20" s="15" t="n">
        <x:v>271.91</x:v>
      </x:c>
      <x:c r="D20" s="13" t="n">
        <x:f>ROUND(C20-B20,2)</x:f>
        <x:v>190.34</x:v>
      </x:c>
    </x:row>
    <x:row r="21" ht="46" customHeight="1">
      <x:c r="A21" s="9" t="str">
        <x:v>6940 TOWN HALL RD, BELLEVILLE, IL 62223</x:v>
      </x:c>
      <x:c r="B21" s="11" t="n">
        <x:v>186.19</x:v>
      </x:c>
      <x:c r="C21" s="11" t="n">
        <x:v>620.63</x:v>
      </x:c>
      <x:c r="D21" s="13" t="n">
        <x:f>ROUND(C21-B21,2)</x:f>
        <x:v>434.44</x:v>
      </x:c>
    </x:row>
    <x:row r="22" ht="46" customHeight="1">
      <x:c r="A22" s="14" t="str">
        <x:v>6963 TOWN HALL RD, BELLEVILLE, IL 62223</x:v>
      </x:c>
      <x:c r="B22" s="15" t="n">
        <x:v>0</x:v>
      </x:c>
      <x:c r="C22" s="15" t="n">
        <x:v>0</x:v>
      </x:c>
      <x:c r="D22" s="13" t="n">
        <x:f>ROUND(C22-B22,2)</x:f>
        <x:v>0</x:v>
      </x:c>
    </x:row>
    <x:row r="23" ht="46" customHeight="1">
      <x:c r="A23" s="9" t="str">
        <x:v>7040 TOWN HALL RD, BELLEVILLE, IL 62223</x:v>
      </x:c>
      <x:c r="B23" s="11" t="n">
        <x:v>41.78</x:v>
      </x:c>
      <x:c r="C23" s="11" t="n">
        <x:v>139.25</x:v>
      </x:c>
      <x:c r="D23" s="13" t="n">
        <x:f>ROUND(C23-B23,2)</x:f>
        <x:v>97.47</x:v>
      </x:c>
    </x:row>
    <x:row r="24" ht="46" customHeight="1">
      <x:c r="A24" s="14" t="str">
        <x:v>7040 TOWNHALL RD, BELLEVILLE, IL 62223</x:v>
      </x:c>
      <x:c r="B24" s="15" t="n">
        <x:v>12.2</x:v>
      </x:c>
      <x:c r="C24" s="15" t="n">
        <x:v>40.66</x:v>
      </x:c>
      <x:c r="D24" s="13" t="n">
        <x:f>ROUND(C24-B24,2)</x:f>
        <x:v>28.46</x:v>
      </x:c>
    </x:row>
    <x:row r="25" ht="46" customHeight="1">
      <x:c r="A25" s="9" t="str">
        <x:v>1100 VILLA DR, BELLEVILLE, IL 62223</x:v>
      </x:c>
      <x:c r="B25" s="11" t="n">
        <x:v>55.33</x:v>
      </x:c>
      <x:c r="C25" s="11" t="n">
        <x:v>184.44</x:v>
      </x:c>
      <x:c r="D25" s="13" t="n">
        <x:f>ROUND(C25-B25,2)</x:f>
        <x:v>129.11</x:v>
      </x:c>
    </x:row>
    <x:row r="26" ht="46" customHeight="1">
      <x:c r="A26" s="14" t="str">
        <x:v>1103 VILLA DR, BELLEVILLE, IL 62223</x:v>
      </x:c>
      <x:c r="B26" s="15" t="n">
        <x:v>1.8</x:v>
      </x:c>
      <x:c r="C26" s="15" t="n">
        <x:v>6</x:v>
      </x:c>
      <x:c r="D26" s="13" t="n">
        <x:f>ROUND(C26-B26,2)</x:f>
        <x:v>4.2</x:v>
      </x:c>
    </x:row>
    <x:row r="27" ht="46" customHeight="1">
      <x:c r="A27" s="9" t="str">
        <x:v>1118 VILLA DR, BELLEVILLE, IL 62223</x:v>
      </x:c>
      <x:c r="B27" s="11" t="n">
        <x:v>101.19</x:v>
      </x:c>
      <x:c r="C27" s="11" t="n">
        <x:v>337.29</x:v>
      </x:c>
      <x:c r="D27" s="13" t="n">
        <x:f>ROUND(C27-B27,2)</x:f>
        <x:v>236.1</x:v>
      </x:c>
    </x:row>
    <x:row r="28" ht="46" customHeight="1">
      <x:c r="A28" s="14" t="str">
        <x:v>1200 VILLA DR, BELLEVILLE, IL 62223</x:v>
      </x:c>
      <x:c r="B28" s="15" t="n">
        <x:v>0</x:v>
      </x:c>
      <x:c r="C28" s="15" t="n">
        <x:v>0</x:v>
      </x:c>
      <x:c r="D28" s="13" t="n">
        <x:f>ROUND(C28-B28,2)</x:f>
        <x:v>0</x:v>
      </x:c>
    </x:row>
  </x:sheetData>
  <x:sheetProtection algorithmName="SHA-512" hashValue="biwNj9PkcMMsmSChHiMH53n1byQSW9h8iqSx5CLbnWuhxmljUlSDDocHXRYL8lCbCnKjHkFyBVqMA/5L6UfZyg==" saltValue="yaCSImt7MkDgywVLUzc6qg==" spinCount="100000" sheet="1" objects="1" scenarios="1"/>
  <x:pageMargins left="0.7" right="0.7" top="0.75" bottom="0.75" header="0.3" footer="0.3"/>
</x:worksheet>
</file>