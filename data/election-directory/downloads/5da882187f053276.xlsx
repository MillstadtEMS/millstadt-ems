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a3ee737af4aff" /></Relationships>
</file>

<file path=xl/workbook.xml><?xml version="1.0" encoding="utf-8"?>
<x:workbook xmlns:x="http://schemas.openxmlformats.org/spreadsheetml/2006/main">
  <x:workbookProtection workbookAlgorithmName="SHA-512" workbookHashValue="YjLFi7xu2wLg2v14ckF/ZHqiLgH9/lzNZJARoIbexJ4TT4UF5xLncoSmJ8ggkyiKA8lEwXwTnXMgInqTO7kCXA==" workbookSaltValue="ULItjUfVbdK2FSjjgcuYsQ==" workbookSpinCount="100000" lockStructure="1"/>
  <x:sheets>
    <x:sheet xmlns:r="http://schemas.openxmlformats.org/officeDocument/2006/relationships" name="Annual EMS taxes" sheetId="1" r:id="Rc17026ce2222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f67345c9c4dd6" /><Relationship Type="http://schemas.openxmlformats.org/officeDocument/2006/relationships/theme" Target="/xl/theme/theme1.xml" Id="R5a7e7a3413f54245" /><Relationship Type="http://schemas.openxmlformats.org/officeDocument/2006/relationships/sharedStrings" Target="/xl/sharedStrings.xml" Id="R2152d5b153a74aa5" /><Relationship Type="http://schemas.openxmlformats.org/officeDocument/2006/relationships/worksheet" Target="/xl/worksheets/sheet1.xml" Id="Rc17026ce2222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3804 BOYD RD, BELLEVILLE, IL 62223</x:v>
      </x:c>
      <x:c r="B7" s="11" t="n">
        <x:v>87.39</x:v>
      </x:c>
      <x:c r="C7" s="11" t="n">
        <x:v>291.3</x:v>
      </x:c>
      <x:c r="D7" s="13" t="n">
        <x:f>ROUND(C7-B7,2)</x:f>
        <x:v>203.91</x:v>
      </x:c>
    </x:row>
    <x:row r="8" ht="46" customHeight="1">
      <x:c r="A8" s="14" t="str">
        <x:v>3860 BOYD RD, BELLEVILLE, IL 62223
Parcel 07-36.0-200-007</x:v>
      </x:c>
      <x:c r="B8" s="15" t="n">
        <x:v>22.47</x:v>
      </x:c>
      <x:c r="C8" s="15" t="n">
        <x:v>74.9</x:v>
      </x:c>
      <x:c r="D8" s="13" t="n">
        <x:f>ROUND(C8-B8,2)</x:f>
        <x:v>52.43</x:v>
      </x:c>
    </x:row>
    <x:row r="9" ht="46" customHeight="1">
      <x:c r="A9" s="9" t="str">
        <x:v>3860 BOYD RD, BELLEVILLE, IL 62223
Parcel 07-36.0-200-012</x:v>
      </x:c>
      <x:c r="B9" s="11" t="n">
        <x:v>10.34</x:v>
      </x:c>
      <x:c r="C9" s="11" t="n">
        <x:v>34.48</x:v>
      </x:c>
      <x:c r="D9" s="13" t="n">
        <x:f>ROUND(C9-B9,2)</x:f>
        <x:v>24.14</x:v>
      </x:c>
    </x:row>
    <x:row r="10" ht="46" customHeight="1">
      <x:c r="A10" s="14" t="str">
        <x:v>3912 BOYD RD, BELLEVILLE, IL 62223</x:v>
      </x:c>
      <x:c r="B10" s="15" t="n">
        <x:v>47.95</x:v>
      </x:c>
      <x:c r="C10" s="15" t="n">
        <x:v>159.82</x:v>
      </x:c>
      <x:c r="D10" s="13" t="n">
        <x:f>ROUND(C10-B10,2)</x:f>
        <x:v>111.87</x:v>
      </x:c>
    </x:row>
    <x:row r="11" ht="46" customHeight="1">
      <x:c r="A11" s="9" t="str">
        <x:v>3964 BOYD RD, BELLEVILLE, IL 62223</x:v>
      </x:c>
      <x:c r="B11" s="11" t="n">
        <x:v>91.62</x:v>
      </x:c>
      <x:c r="C11" s="11" t="n">
        <x:v>305.39</x:v>
      </x:c>
      <x:c r="D11" s="13" t="n">
        <x:f>ROUND(C11-B11,2)</x:f>
        <x:v>213.77</x:v>
      </x:c>
    </x:row>
    <x:row r="12" ht="46" customHeight="1">
      <x:c r="A12" s="14" t="str">
        <x:v>4105 BOYD RD, BELLEVILLE, IL 62223</x:v>
      </x:c>
      <x:c r="B12" s="15" t="n">
        <x:v>45.58</x:v>
      </x:c>
      <x:c r="C12" s="15" t="n">
        <x:v>151.95</x:v>
      </x:c>
      <x:c r="D12" s="13" t="n">
        <x:f>ROUND(C12-B12,2)</x:f>
        <x:v>106.37</x:v>
      </x:c>
    </x:row>
    <x:row r="13" ht="46" customHeight="1">
      <x:c r="A13" s="9" t="str">
        <x:v>4113 BOYD RD, BELLEVILLE, IL 62221</x:v>
      </x:c>
      <x:c r="B13" s="11" t="n">
        <x:v>97.72</x:v>
      </x:c>
      <x:c r="C13" s="11" t="n">
        <x:v>325.74</x:v>
      </x:c>
      <x:c r="D13" s="13" t="n">
        <x:f>ROUND(C13-B13,2)</x:f>
        <x:v>228.02</x:v>
      </x:c>
    </x:row>
    <x:row r="14" ht="46" customHeight="1">
      <x:c r="A14" s="14" t="str">
        <x:v>4132 BOYD RD, BELLEVILLE, IL 62223</x:v>
      </x:c>
      <x:c r="B14" s="15" t="n">
        <x:v>99.13</x:v>
      </x:c>
      <x:c r="C14" s="15" t="n">
        <x:v>330.44</x:v>
      </x:c>
      <x:c r="D14" s="13" t="n">
        <x:f>ROUND(C14-B14,2)</x:f>
        <x:v>231.31</x:v>
      </x:c>
    </x:row>
    <x:row r="15" ht="46" customHeight="1">
      <x:c r="A15" s="9" t="str">
        <x:v>4150 BOYD RD, BELLEVILLE, IL 62223</x:v>
      </x:c>
      <x:c r="B15" s="11" t="n">
        <x:v>83.45</x:v>
      </x:c>
      <x:c r="C15" s="11" t="n">
        <x:v>278.17</x:v>
      </x:c>
      <x:c r="D15" s="13" t="n">
        <x:f>ROUND(C15-B15,2)</x:f>
        <x:v>194.72</x:v>
      </x:c>
    </x:row>
    <x:row r="16" ht="46" customHeight="1">
      <x:c r="A16" s="14" t="str">
        <x:v>4199 BOYD RD, BELLEVILLE, IL 62223
Parcel 07-36.0-100-007</x:v>
      </x:c>
      <x:c r="B16" s="15" t="n">
        <x:v>1.92</x:v>
      </x:c>
      <x:c r="C16" s="15" t="n">
        <x:v>6.38</x:v>
      </x:c>
      <x:c r="D16" s="13" t="n">
        <x:f>ROUND(C16-B16,2)</x:f>
        <x:v>4.46</x:v>
      </x:c>
    </x:row>
    <x:row r="17" ht="46" customHeight="1">
      <x:c r="A17" s="9" t="str">
        <x:v>4512 BOYD RD, BELLEVILLE, IL 62223</x:v>
      </x:c>
      <x:c r="B17" s="11" t="n">
        <x:v>68.66</x:v>
      </x:c>
      <x:c r="C17" s="11" t="n">
        <x:v>228.86</x:v>
      </x:c>
      <x:c r="D17" s="13" t="n">
        <x:f>ROUND(C17-B17,2)</x:f>
        <x:v>160.2</x:v>
      </x:c>
    </x:row>
    <x:row r="18" ht="46" customHeight="1">
      <x:c r="A18" s="14" t="str">
        <x:v>4513 BOYD RD, BELLEVILLE, IL 62223</x:v>
      </x:c>
      <x:c r="B18" s="15" t="n">
        <x:v>110.83</x:v>
      </x:c>
      <x:c r="C18" s="15" t="n">
        <x:v>369.45</x:v>
      </x:c>
      <x:c r="D18" s="13" t="n">
        <x:f>ROUND(C18-B18,2)</x:f>
        <x:v>258.62</x:v>
      </x:c>
    </x:row>
    <x:row r="19" ht="46" customHeight="1">
      <x:c r="A19" s="9" t="str">
        <x:v>5601 CONCORDIA RD, BELLEVILLE, IL 62223</x:v>
      </x:c>
      <x:c r="B19" s="11" t="n">
        <x:v>23.91</x:v>
      </x:c>
      <x:c r="C19" s="11" t="n">
        <x:v>79.71</x:v>
      </x:c>
      <x:c r="D19" s="13" t="n">
        <x:f>ROUND(C19-B19,2)</x:f>
        <x:v>55.8</x:v>
      </x:c>
    </x:row>
    <x:row r="20" ht="46" customHeight="1">
      <x:c r="A20" s="14" t="str">
        <x:v>6000 CONCORDIA RD, BELLEVILLE, IL 62223
Parcel 07-36.0-200-014</x:v>
      </x:c>
      <x:c r="B20" s="15" t="n">
        <x:v>46.8</x:v>
      </x:c>
      <x:c r="C20" s="15" t="n">
        <x:v>156.02</x:v>
      </x:c>
      <x:c r="D20" s="13" t="n">
        <x:f>ROUND(C20-B20,2)</x:f>
        <x:v>109.22</x:v>
      </x:c>
    </x:row>
    <x:row r="21" ht="46" customHeight="1">
      <x:c r="A21" s="9" t="str">
        <x:v>6000 CONCORDIA RD, BELLEVILLE, IL 62223
Parcel 07-36.0-200-015</x:v>
      </x:c>
      <x:c r="B21" s="11" t="n">
        <x:v>83.44</x:v>
      </x:c>
      <x:c r="C21" s="11" t="n">
        <x:v>278.13</x:v>
      </x:c>
      <x:c r="D21" s="13" t="n">
        <x:f>ROUND(C21-B21,2)</x:f>
        <x:v>194.69</x:v>
      </x:c>
    </x:row>
    <x:row r="22" ht="46" customHeight="1">
      <x:c r="A22" s="14" t="str">
        <x:v>6500 CONCORDIA RD, BELLEVILLE, IL 62223</x:v>
      </x:c>
      <x:c r="B22" s="15" t="n">
        <x:v>82.96</x:v>
      </x:c>
      <x:c r="C22" s="15" t="n">
        <x:v>276.55</x:v>
      </x:c>
      <x:c r="D22" s="13" t="n">
        <x:f>ROUND(C22-B22,2)</x:f>
        <x:v>193.59</x:v>
      </x:c>
    </x:row>
    <x:row r="23" ht="46" customHeight="1">
      <x:c r="A23" s="9" t="str">
        <x:v>6600 CONCORDIA RD, BELLEVILLE, IL 62223</x:v>
      </x:c>
      <x:c r="B23" s="11" t="n">
        <x:v>89.88</x:v>
      </x:c>
      <x:c r="C23" s="11" t="n">
        <x:v>299.59</x:v>
      </x:c>
      <x:c r="D23" s="13" t="n">
        <x:f>ROUND(C23-B23,2)</x:f>
        <x:v>209.71</x:v>
      </x:c>
    </x:row>
    <x:row r="24" ht="46" customHeight="1">
      <x:c r="A24" s="14" t="str">
        <x:v>6708 CONCORDIA RD, BELLEVILLE, IL 62223</x:v>
      </x:c>
      <x:c r="B24" s="15" t="n">
        <x:v>82.92</x:v>
      </x:c>
      <x:c r="C24" s="15" t="n">
        <x:v>276.39</x:v>
      </x:c>
      <x:c r="D24" s="13" t="n">
        <x:f>ROUND(C24-B24,2)</x:f>
        <x:v>193.47</x:v>
      </x:c>
    </x:row>
    <x:row r="25" ht="46" customHeight="1">
      <x:c r="A25" s="9" t="str">
        <x:v>6792 CONCORDIA RD, BELLEVILLE, IL 62223</x:v>
      </x:c>
      <x:c r="B25" s="11" t="n">
        <x:v>87.59</x:v>
      </x:c>
      <x:c r="C25" s="11" t="n">
        <x:v>291.95</x:v>
      </x:c>
      <x:c r="D25" s="13" t="n">
        <x:f>ROUND(C25-B25,2)</x:f>
        <x:v>204.36</x:v>
      </x:c>
    </x:row>
    <x:row r="26" ht="46" customHeight="1">
      <x:c r="A26" s="14" t="str">
        <x:v>5009 FRANK SCOTT PKWY WEST, BELLEVILLE, IL 62223</x:v>
      </x:c>
      <x:c r="B26" s="15" t="n">
        <x:v>72.14</x:v>
      </x:c>
      <x:c r="C26" s="15" t="n">
        <x:v>240.45</x:v>
      </x:c>
      <x:c r="D26" s="13" t="n">
        <x:f>ROUND(C26-B26,2)</x:f>
        <x:v>168.31</x:v>
      </x:c>
    </x:row>
    <x:row r="27" ht="46" customHeight="1">
      <x:c r="A27" s="9" t="str">
        <x:v>5015 FRANK SCOTT PKWY WEST, BELLEVILLE, IL 62223</x:v>
      </x:c>
      <x:c r="B27" s="11" t="n">
        <x:v>7.72</x:v>
      </x:c>
      <x:c r="C27" s="11" t="n">
        <x:v>25.73</x:v>
      </x:c>
      <x:c r="D27" s="13" t="n">
        <x:f>ROUND(C27-B27,2)</x:f>
        <x:v>18.01</x:v>
      </x:c>
    </x:row>
    <x:row r="28" ht="46" customHeight="1">
      <x:c r="A28" s="14" t="str">
        <x:v>5031 FRANK SCOTT PKWY WEST, BELLEVILLE, IL 62223</x:v>
      </x:c>
      <x:c r="B28" s="15" t="n">
        <x:v>119.76</x:v>
      </x:c>
      <x:c r="C28" s="15" t="n">
        <x:v>399.2</x:v>
      </x:c>
      <x:c r="D28" s="13" t="n">
        <x:f>ROUND(C28-B28,2)</x:f>
        <x:v>279.44</x:v>
      </x:c>
    </x:row>
    <x:row r="29" ht="46" customHeight="1">
      <x:c r="A29" s="9" t="str">
        <x:v>5249 FRANK SCOTT PKWY WEST, BELLEVILLE, IL 62223</x:v>
      </x:c>
      <x:c r="B29" s="11" t="n">
        <x:v>102.31</x:v>
      </x:c>
      <x:c r="C29" s="11" t="n">
        <x:v>341.03</x:v>
      </x:c>
      <x:c r="D29" s="13" t="n">
        <x:f>ROUND(C29-B29,2)</x:f>
        <x:v>238.72</x:v>
      </x:c>
    </x:row>
    <x:row r="30" ht="46" customHeight="1">
      <x:c r="A30" s="14" t="str">
        <x:v>5219 FRANK SCOTT PKY WEST, BELLEVILLE, IL 62223</x:v>
      </x:c>
      <x:c r="B30" s="15" t="n">
        <x:v>56.1</x:v>
      </x:c>
      <x:c r="C30" s="15" t="n">
        <x:v>186.99</x:v>
      </x:c>
      <x:c r="D30" s="13" t="n">
        <x:f>ROUND(C30-B30,2)</x:f>
        <x:v>130.89</x:v>
      </x:c>
    </x:row>
    <x:row r="31" ht="46" customHeight="1">
      <x:c r="A31" s="9" t="str">
        <x:v>5912 MINE HAUL RD, BELLEVILLE, IL 62223</x:v>
      </x:c>
      <x:c r="B31" s="11" t="n">
        <x:v>23.91</x:v>
      </x:c>
      <x:c r="C31" s="11" t="n">
        <x:v>79.71</x:v>
      </x:c>
      <x:c r="D31" s="13" t="n">
        <x:f>ROUND(C31-B31,2)</x:f>
        <x:v>55.8</x:v>
      </x:c>
    </x:row>
    <x:row r="32" ht="46" customHeight="1">
      <x:c r="A32" s="14" t="str">
        <x:v>5937 MINE HAUL RD, BELLEVILLE, IL 62223</x:v>
      </x:c>
      <x:c r="B32" s="15" t="n">
        <x:v>81.47</x:v>
      </x:c>
      <x:c r="C32" s="15" t="n">
        <x:v>271.57</x:v>
      </x:c>
      <x:c r="D32" s="13" t="n">
        <x:f>ROUND(C32-B32,2)</x:f>
        <x:v>190.1</x:v>
      </x:c>
    </x:row>
    <x:row r="33" ht="46" customHeight="1">
      <x:c r="A33" s="9" t="str">
        <x:v>5989 MINE HAUL RD, BELLEVILLE, IL 62223</x:v>
      </x:c>
      <x:c r="B33" s="11" t="n">
        <x:v>66.56</x:v>
      </x:c>
      <x:c r="C33" s="11" t="n">
        <x:v>221.88</x:v>
      </x:c>
      <x:c r="D33" s="13" t="n">
        <x:f>ROUND(C33-B33,2)</x:f>
        <x:v>155.32</x:v>
      </x:c>
    </x:row>
    <x:row r="34" ht="46" customHeight="1">
      <x:c r="A34" s="14" t="str">
        <x:v>6321 MINE HAUL RD, BELLEVILLE, IL 62223
Parcel 07-36.0-400-022</x:v>
      </x:c>
      <x:c r="B34" s="15" t="n">
        <x:v>37.57</x:v>
      </x:c>
      <x:c r="C34" s="15" t="n">
        <x:v>125.22</x:v>
      </x:c>
      <x:c r="D34" s="13" t="n">
        <x:f>ROUND(C34-B34,2)</x:f>
        <x:v>87.65</x:v>
      </x:c>
    </x:row>
    <x:row r="35" ht="46" customHeight="1">
      <x:c r="A35" s="9" t="str">
        <x:v>6321 MINE HAUL RD, BELLEVILLE, IL 62223
Parcel 07-36.0-400-023</x:v>
      </x:c>
      <x:c r="B35" s="11" t="n">
        <x:v>18.23</x:v>
      </x:c>
      <x:c r="C35" s="11" t="n">
        <x:v>60.75</x:v>
      </x:c>
      <x:c r="D35" s="13" t="n">
        <x:f>ROUND(C35-B35,2)</x:f>
        <x:v>42.52</x:v>
      </x:c>
    </x:row>
    <x:row r="36" ht="46" customHeight="1">
      <x:c r="A36" s="14" t="str">
        <x:v>6733 MINE HAUL RD, BELLEVILLE, IL 62223</x:v>
      </x:c>
      <x:c r="B36" s="15" t="n">
        <x:v>43.13</x:v>
      </x:c>
      <x:c r="C36" s="15" t="n">
        <x:v>143.76</x:v>
      </x:c>
      <x:c r="D36" s="13" t="n">
        <x:f>ROUND(C36-B36,2)</x:f>
        <x:v>100.63</x:v>
      </x:c>
    </x:row>
    <x:row r="37" ht="46" customHeight="1">
      <x:c r="A37" s="9" t="str">
        <x:v>6741 MINE HAUL RD, BELLEVILLE, IL 62223
Parcel 07-36.0-300-004</x:v>
      </x:c>
      <x:c r="B37" s="11" t="n">
        <x:v>0.28</x:v>
      </x:c>
      <x:c r="C37" s="11" t="n">
        <x:v>0.92</x:v>
      </x:c>
      <x:c r="D37" s="13" t="n">
        <x:f>ROUND(C37-B37,2)</x:f>
        <x:v>0.64</x:v>
      </x:c>
    </x:row>
    <x:row r="38" ht="46" customHeight="1">
      <x:c r="A38" s="14" t="str">
        <x:v>6741 MINE HAUL RD, BELLEVILLE, IL 62223
Parcel 07-36.0-300-005</x:v>
      </x:c>
      <x:c r="B38" s="15" t="n">
        <x:v>18.32</x:v>
      </x:c>
      <x:c r="C38" s="15" t="n">
        <x:v>61.05</x:v>
      </x:c>
      <x:c r="D38" s="13" t="n">
        <x:f>ROUND(C38-B38,2)</x:f>
        <x:v>42.73</x:v>
      </x:c>
    </x:row>
    <x:row r="39" ht="46" customHeight="1">
      <x:c r="A39" s="9" t="str">
        <x:v>6741 MINE HAUL RD, BELLEVILLE, IL 62223
Parcel 07-36.0-300-013</x:v>
      </x:c>
      <x:c r="B39" s="11" t="n">
        <x:v>0.59</x:v>
      </x:c>
      <x:c r="C39" s="11" t="n">
        <x:v>1.97</x:v>
      </x:c>
      <x:c r="D39" s="13" t="n">
        <x:f>ROUND(C39-B39,2)</x:f>
        <x:v>1.38</x:v>
      </x:c>
    </x:row>
    <x:row r="40" ht="46" customHeight="1">
      <x:c r="A40" s="14" t="str">
        <x:v>6741 MINE HAUL RD, BELLEVILLE, IL 62223
Parcel 07-36.0-300-018</x:v>
      </x:c>
      <x:c r="B40" s="15" t="n">
        <x:v>11.4</x:v>
      </x:c>
      <x:c r="C40" s="15" t="n">
        <x:v>38</x:v>
      </x:c>
      <x:c r="D40" s="13" t="n">
        <x:f>ROUND(C40-B40,2)</x:f>
        <x:v>26.6</x:v>
      </x:c>
    </x:row>
    <x:row r="41" ht="46" customHeight="1">
      <x:c r="A41" s="9" t="str">
        <x:v>6741 MINE HAUL RD, BELLEVILLE, IL 62223
Parcel 07-36.0-300-019</x:v>
      </x:c>
      <x:c r="B41" s="11" t="n">
        <x:v>9.94</x:v>
      </x:c>
      <x:c r="C41" s="11" t="n">
        <x:v>33.12</x:v>
      </x:c>
      <x:c r="D41" s="13" t="n">
        <x:f>ROUND(C41-B41,2)</x:f>
        <x:v>23.18</x:v>
      </x:c>
    </x:row>
    <x:row r="42" ht="46" customHeight="1">
      <x:c r="A42" s="14" t="str">
        <x:v>6741 MINE HAUL RD, BELLEVILLE, IL 62223
Parcel 07-36.0-300-020</x:v>
      </x:c>
      <x:c r="B42" s="15" t="n">
        <x:v>24.11</x:v>
      </x:c>
      <x:c r="C42" s="15" t="n">
        <x:v>80.37</x:v>
      </x:c>
      <x:c r="D42" s="13" t="n">
        <x:f>ROUND(C42-B42,2)</x:f>
        <x:v>56.26</x:v>
      </x:c>
    </x:row>
  </x:sheetData>
  <x:sheetProtection algorithmName="SHA-512" hashValue="YjLFi7xu2wLg2v14ckF/ZHqiLgH9/lzNZJARoIbexJ4TT4UF5xLncoSmJ8ggkyiKA8lEwXwTnXMgInqTO7kCXA==" saltValue="ULItjUfVbdK2FSjjgcuYsQ==" spinCount="100000" sheet="1" objects="1" scenarios="1"/>
  <x:pageMargins left="0.7" right="0.7" top="0.75" bottom="0.75" header="0.3" footer="0.3"/>
</x:worksheet>
</file>