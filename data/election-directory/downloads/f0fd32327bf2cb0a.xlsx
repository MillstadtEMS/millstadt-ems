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1fb72eb7c40e6" /></Relationships>
</file>

<file path=xl/workbook.xml><?xml version="1.0" encoding="utf-8"?>
<x:workbook xmlns:x="http://schemas.openxmlformats.org/spreadsheetml/2006/main">
  <x:workbookProtection workbookAlgorithmName="SHA-512" workbookHashValue="O5pbSU5S4PZ3K69hcm9klAA67lLFClStl7MNyYNJYcTSHlG7rHX0NoI7078OWKsUTX/5G6ET1yLKG1HlJ/n0Ig==" workbookSaltValue="JUZq4cVb0ue/k2ZHWSz5og==" workbookSpinCount="100000" lockStructure="1"/>
  <x:sheets>
    <x:sheet xmlns:r="http://schemas.openxmlformats.org/officeDocument/2006/relationships" name="Annual EMS taxes" sheetId="1" r:id="Rbda5bc6fd0ee4d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630d2d5d6b4e46" /><Relationship Type="http://schemas.openxmlformats.org/officeDocument/2006/relationships/theme" Target="/xl/theme/theme1.xml" Id="R91c07ed2efe04851" /><Relationship Type="http://schemas.openxmlformats.org/officeDocument/2006/relationships/sharedStrings" Target="/xl/sharedStrings.xml" Id="R0ee1aa22b435495e" /><Relationship Type="http://schemas.openxmlformats.org/officeDocument/2006/relationships/worksheet" Target="/xl/worksheets/sheet1.xml" Id="Rbda5bc6fd0ee4d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25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5800 CONCORDIA RD, BELLEVILLE, IL 62223</x:v>
      </x:c>
      <x:c r="B7" s="11" t="n">
        <x:v>10.27</x:v>
      </x:c>
      <x:c r="C7" s="11" t="n">
        <x:v>34.22</x:v>
      </x:c>
      <x:c r="D7" s="13" t="n">
        <x:f>ROUND(C7-B7,2)</x:f>
        <x:v>23.95</x:v>
      </x:c>
    </x:row>
    <x:row r="8" ht="46" customHeight="1">
      <x:c r="A8" s="14" t="str">
        <x:v>6000 CONCORDIA RD, BELLEVILLE, IL 62223
Parcel 07-25.0-400-015</x:v>
      </x:c>
      <x:c r="B8" s="15" t="n">
        <x:v>38.05</x:v>
      </x:c>
      <x:c r="C8" s="15" t="n">
        <x:v>126.85</x:v>
      </x:c>
      <x:c r="D8" s="13" t="n">
        <x:f>ROUND(C8-B8,2)</x:f>
        <x:v>88.8</x:v>
      </x:c>
    </x:row>
    <x:row r="9" ht="46" customHeight="1">
      <x:c r="A9" s="9" t="str">
        <x:v>6001 CONCORDIA RD, BELLEVILLE, IL 62223</x:v>
      </x:c>
      <x:c r="B9" s="11" t="n">
        <x:v>69.8</x:v>
      </x:c>
      <x:c r="C9" s="11" t="n">
        <x:v>232.65</x:v>
      </x:c>
      <x:c r="D9" s="13" t="n">
        <x:f>ROUND(C9-B9,2)</x:f>
        <x:v>162.85</x:v>
      </x:c>
    </x:row>
    <x:row r="10" ht="46" customHeight="1">
      <x:c r="A10" s="14" t="str">
        <x:v>6401 CONCORDIA RD, BELLEVILLE, IL 62223
Parcel 07-25.0-100-012</x:v>
      </x:c>
      <x:c r="B10" s="15" t="n">
        <x:v>98.11</x:v>
      </x:c>
      <x:c r="C10" s="15" t="n">
        <x:v>327.04</x:v>
      </x:c>
      <x:c r="D10" s="13" t="n">
        <x:f>ROUND(C10-B10,2)</x:f>
        <x:v>228.93</x:v>
      </x:c>
    </x:row>
    <x:row r="11" ht="46" customHeight="1">
      <x:c r="A11" s="9" t="str">
        <x:v>6401 CONCORDIA RD, BELLEVILLE, IL 62223
Parcel 07-25.0-100-013</x:v>
      </x:c>
      <x:c r="B11" s="11" t="n">
        <x:v>26.11</x:v>
      </x:c>
      <x:c r="C11" s="11" t="n">
        <x:v>87.04</x:v>
      </x:c>
      <x:c r="D11" s="13" t="n">
        <x:f>ROUND(C11-B11,2)</x:f>
        <x:v>60.93</x:v>
      </x:c>
    </x:row>
    <x:row r="12" ht="46" customHeight="1">
      <x:c r="A12" s="14" t="str">
        <x:v>6701 CONCORDIA RD, BELLEVILLE, IL 62223</x:v>
      </x:c>
      <x:c r="B12" s="15" t="n">
        <x:v>81.77</x:v>
      </x:c>
      <x:c r="C12" s="15" t="n">
        <x:v>272.58</x:v>
      </x:c>
      <x:c r="D12" s="13" t="n">
        <x:f>ROUND(C12-B12,2)</x:f>
        <x:v>190.81</x:v>
      </x:c>
    </x:row>
    <x:row r="13" ht="46" customHeight="1">
      <x:c r="A13" s="9" t="str">
        <x:v>0 FRANK SCOTT PKWY WEST, BELLEVILLE, IL 62223</x:v>
      </x:c>
      <x:c r="B13" s="11" t="n">
        <x:v>5.73</x:v>
      </x:c>
      <x:c r="C13" s="11" t="n">
        <x:v>19.09</x:v>
      </x:c>
      <x:c r="D13" s="13" t="n">
        <x:f>ROUND(C13-B13,2)</x:f>
        <x:v>13.36</x:v>
      </x:c>
    </x:row>
    <x:row r="14" ht="46" customHeight="1">
      <x:c r="A14" s="14" t="str">
        <x:v>4289 FRANK SCOTT PKY WEST, BELLEVILLE, IL 62223</x:v>
      </x:c>
      <x:c r="B14" s="15" t="n">
        <x:v>3.26</x:v>
      </x:c>
      <x:c r="C14" s="15" t="n">
        <x:v>10.86</x:v>
      </x:c>
      <x:c r="D14" s="13" t="n">
        <x:f>ROUND(C14-B14,2)</x:f>
        <x:v>7.6</x:v>
      </x:c>
    </x:row>
    <x:row r="15" ht="46" customHeight="1">
      <x:c r="A15" s="9" t="str">
        <x:v>4297 FRANK SCOTT PKY WEST, BELLEVILLE, IL 62223
Parcel 07-25.0-200-024</x:v>
      </x:c>
      <x:c r="B15" s="11" t="n">
        <x:v>243.76</x:v>
      </x:c>
      <x:c r="C15" s="11" t="n">
        <x:v>812.52</x:v>
      </x:c>
      <x:c r="D15" s="13" t="n">
        <x:f>ROUND(C15-B15,2)</x:f>
        <x:v>568.76</x:v>
      </x:c>
    </x:row>
    <x:row r="16" ht="46" customHeight="1">
      <x:c r="A16" s="14" t="str">
        <x:v>4297 FRANK SCOTT PKY WEST, BELLEVILLE, IL 62223
Parcel 07-25.0-200-025</x:v>
      </x:c>
      <x:c r="B16" s="15" t="n">
        <x:v>108.86</x:v>
      </x:c>
      <x:c r="C16" s="15" t="n">
        <x:v>362.87</x:v>
      </x:c>
      <x:c r="D16" s="13" t="n">
        <x:f>ROUND(C16-B16,2)</x:f>
        <x:v>254.01</x:v>
      </x:c>
    </x:row>
    <x:row r="17" ht="46" customHeight="1">
      <x:c r="A17" s="9" t="str">
        <x:v>4393 FRANK SCOTT PKY WEST, BELLEVILLE, IL 62223</x:v>
      </x:c>
      <x:c r="B17" s="11" t="n">
        <x:v>27.91</x:v>
      </x:c>
      <x:c r="C17" s="11" t="n">
        <x:v>93.04</x:v>
      </x:c>
      <x:c r="D17" s="13" t="n">
        <x:f>ROUND(C17-B17,2)</x:f>
        <x:v>65.13</x:v>
      </x:c>
    </x:row>
    <x:row r="18" ht="46" customHeight="1">
      <x:c r="A18" s="14" t="str">
        <x:v>4561 FRANK SCOTT PKY WEST, BELLEVILLE, IL 62223</x:v>
      </x:c>
      <x:c r="B18" s="15" t="n">
        <x:v>60.24</x:v>
      </x:c>
      <x:c r="C18" s="15" t="n">
        <x:v>200.79</x:v>
      </x:c>
      <x:c r="D18" s="13" t="n">
        <x:f>ROUND(C18-B18,2)</x:f>
        <x:v>140.55</x:v>
      </x:c>
    </x:row>
    <x:row r="19" ht="46" customHeight="1">
      <x:c r="A19" s="9" t="str">
        <x:v>4649 FRANK SCOTT PKY WEST, BELLEVILLE, IL 62223</x:v>
      </x:c>
      <x:c r="B19" s="11" t="n">
        <x:v>55.71</x:v>
      </x:c>
      <x:c r="C19" s="11" t="n">
        <x:v>185.71</x:v>
      </x:c>
      <x:c r="D19" s="13" t="n">
        <x:f>ROUND(C19-B19,2)</x:f>
        <x:v>130</x:v>
      </x:c>
    </x:row>
    <x:row r="20" ht="46" customHeight="1">
      <x:c r="A20" s="14" t="str">
        <x:v>5941 ROLLING HILLS LN, BELLEVILLE, IL 62223</x:v>
      </x:c>
      <x:c r="B20" s="15" t="n">
        <x:v>76.7</x:v>
      </x:c>
      <x:c r="C20" s="15" t="n">
        <x:v>255.66</x:v>
      </x:c>
      <x:c r="D20" s="13" t="n">
        <x:f>ROUND(C20-B20,2)</x:f>
        <x:v>178.96</x:v>
      </x:c>
    </x:row>
    <x:row r="21" ht="46" customHeight="1">
      <x:c r="A21" s="9" t="str">
        <x:v>5962 ROLLING HILLS LN, BELLEVILLE, IL 62223</x:v>
      </x:c>
      <x:c r="B21" s="11" t="n">
        <x:v>90.12</x:v>
      </x:c>
      <x:c r="C21" s="11" t="n">
        <x:v>300.41</x:v>
      </x:c>
      <x:c r="D21" s="13" t="n">
        <x:f>ROUND(C21-B21,2)</x:f>
        <x:v>210.29</x:v>
      </x:c>
    </x:row>
    <x:row r="22" ht="46" customHeight="1">
      <x:c r="A22" s="14" t="str">
        <x:v>5990 ROLLING HILLS LN, BELLEVILLE, IL 62223</x:v>
      </x:c>
      <x:c r="B22" s="15" t="n">
        <x:v>26.11</x:v>
      </x:c>
      <x:c r="C22" s="15" t="n">
        <x:v>87.04</x:v>
      </x:c>
      <x:c r="D22" s="13" t="n">
        <x:f>ROUND(C22-B22,2)</x:f>
        <x:v>60.93</x:v>
      </x:c>
    </x:row>
    <x:row r="23" ht="46" customHeight="1">
      <x:c r="A23" s="9" t="str">
        <x:v>6009 ROLLING HILLS LN, BELLEVILLE, IL 62223</x:v>
      </x:c>
      <x:c r="B23" s="11" t="n">
        <x:v>42.06</x:v>
      </x:c>
      <x:c r="C23" s="11" t="n">
        <x:v>140.2</x:v>
      </x:c>
      <x:c r="D23" s="13" t="n">
        <x:f>ROUND(C23-B23,2)</x:f>
        <x:v>98.14</x:v>
      </x:c>
    </x:row>
    <x:row r="24" ht="46" customHeight="1">
      <x:c r="A24" s="14" t="str">
        <x:v>6010 ROLLING HILLS LN, BELLEVILLE, IL 62223</x:v>
      </x:c>
      <x:c r="B24" s="15" t="n">
        <x:v>141.51</x:v>
      </x:c>
      <x:c r="C24" s="15" t="n">
        <x:v>471.69</x:v>
      </x:c>
      <x:c r="D24" s="13" t="n">
        <x:f>ROUND(C24-B24,2)</x:f>
        <x:v>330.18</x:v>
      </x:c>
    </x:row>
    <x:row r="25" ht="46" customHeight="1">
      <x:c r="A25" s="9" t="str">
        <x:v>3007 S 59TH ST, BELLEVILLE, IL 62223</x:v>
      </x:c>
      <x:c r="B25" s="11" t="n">
        <x:v>7.13</x:v>
      </x:c>
      <x:c r="C25" s="11" t="n">
        <x:v>23.78</x:v>
      </x:c>
      <x:c r="D25" s="13" t="n">
        <x:f>ROUND(C25-B25,2)</x:f>
        <x:v>16.65</x:v>
      </x:c>
    </x:row>
    <x:row r="26" ht="46" customHeight="1">
      <x:c r="A26" s="14" t="str">
        <x:v>3425 S 59TH ST, BELLEVILLE, IL 62223</x:v>
      </x:c>
      <x:c r="B26" s="15" t="n">
        <x:v>1.84</x:v>
      </x:c>
      <x:c r="C26" s="15" t="n">
        <x:v>6.14</x:v>
      </x:c>
      <x:c r="D26" s="13" t="n">
        <x:f>ROUND(C26-B26,2)</x:f>
        <x:v>4.3</x:v>
      </x:c>
    </x:row>
  </x:sheetData>
  <x:sheetProtection algorithmName="SHA-512" hashValue="O5pbSU5S4PZ3K69hcm9klAA67lLFClStl7MNyYNJYcTSHlG7rHX0NoI7078OWKsUTX/5G6ET1yLKG1HlJ/n0Ig==" saltValue="JUZq4cVb0ue/k2ZHWSz5og==" spinCount="100000" sheet="1" objects="1" scenarios="1"/>
  <x:pageMargins left="0.7" right="0.7" top="0.75" bottom="0.75" header="0.3" footer="0.3"/>
</x:worksheet>
</file>