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3a43dd672e4f6f" /></Relationships>
</file>

<file path=xl/workbook.xml><?xml version="1.0" encoding="utf-8"?>
<x:workbook xmlns:x="http://schemas.openxmlformats.org/spreadsheetml/2006/main">
  <x:workbookProtection workbookAlgorithmName="SHA-512" workbookHashValue="wB/o7df/ACVAsxINx2ZEIDbJ8t4C5Orlmrgx+0oAc1BWll5qk05h/m36GetRTi5jH0oiiy06+AVFAIWZZrzh2g==" workbookSaltValue="tTcg7NJ4lp7cg3KPsFZDnQ==" workbookSpinCount="100000" lockStructure="1"/>
  <x:sheets>
    <x:sheet xmlns:r="http://schemas.openxmlformats.org/officeDocument/2006/relationships" name="Annual EMS taxes" sheetId="1" r:id="Ra637063d16a646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9096bed6e24944" /><Relationship Type="http://schemas.openxmlformats.org/officeDocument/2006/relationships/theme" Target="/xl/theme/theme1.xml" Id="Rc7710dde05e14363" /><Relationship Type="http://schemas.openxmlformats.org/officeDocument/2006/relationships/sharedStrings" Target="/xl/sharedStrings.xml" Id="R15984f3a71f343cd" /><Relationship Type="http://schemas.openxmlformats.org/officeDocument/2006/relationships/worksheet" Target="/xl/worksheets/sheet1.xml" Id="Ra637063d16a646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 CLAIR TWP SEC 31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110 BLUE BIRD LN, BELLEVILLE, IL 62226</x:v>
      </x:c>
      <x:c r="B7" s="11" t="n">
        <x:v>119.48</x:v>
      </x:c>
      <x:c r="C7" s="11" t="n">
        <x:v>398.25</x:v>
      </x:c>
      <x:c r="D7" s="13" t="n">
        <x:f>ROUND(C7-B7,2)</x:f>
        <x:v>278.77</x:v>
      </x:c>
    </x:row>
    <x:row r="8" ht="46" customHeight="1">
      <x:c r="A8" s="14" t="str">
        <x:v>3521 CENTREVILLE AVE, BELLEVILLE, IL 62221</x:v>
      </x:c>
      <x:c r="B8" s="15" t="n">
        <x:v>26.54</x:v>
      </x:c>
      <x:c r="C8" s="15" t="n">
        <x:v>88.48</x:v>
      </x:c>
      <x:c r="D8" s="13" t="n">
        <x:f>ROUND(C8-B8,2)</x:f>
        <x:v>61.94</x:v>
      </x:c>
    </x:row>
    <x:row r="9" ht="46" customHeight="1">
      <x:c r="A9" s="9" t="str">
        <x:v>3521 CENTREVILLE AVE, BELLEVILLE, IL 62226
Parcel 08-31.0-300-001</x:v>
      </x:c>
      <x:c r="B9" s="11" t="n">
        <x:v>13.02</x:v>
      </x:c>
      <x:c r="C9" s="11" t="n">
        <x:v>43.39</x:v>
      </x:c>
      <x:c r="D9" s="13" t="n">
        <x:f>ROUND(C9-B9,2)</x:f>
        <x:v>30.37</x:v>
      </x:c>
    </x:row>
    <x:row r="10" ht="46" customHeight="1">
      <x:c r="A10" s="14" t="str">
        <x:v>3521 CENTREVILLE AVE, BELLEVILLE, IL 62226
Parcel 08-31.0-300-015</x:v>
      </x:c>
      <x:c r="B10" s="15" t="n">
        <x:v>10.56</x:v>
      </x:c>
      <x:c r="C10" s="15" t="n">
        <x:v>35.18</x:v>
      </x:c>
      <x:c r="D10" s="13" t="n">
        <x:f>ROUND(C10-B10,2)</x:f>
        <x:v>24.62</x:v>
      </x:c>
    </x:row>
    <x:row r="11" ht="46" customHeight="1">
      <x:c r="A11" s="9" t="str">
        <x:v>3521 CENTREVILLE AVE, BELLEVILLE, IL 62226
Parcel 08-31.0-300-017</x:v>
      </x:c>
      <x:c r="B11" s="11" t="n">
        <x:v>54.35</x:v>
      </x:c>
      <x:c r="C11" s="11" t="n">
        <x:v>181.15</x:v>
      </x:c>
      <x:c r="D11" s="13" t="n">
        <x:f>ROUND(C11-B11,2)</x:f>
        <x:v>126.8</x:v>
      </x:c>
    </x:row>
    <x:row r="12" ht="46" customHeight="1">
      <x:c r="A12" s="14" t="str">
        <x:v>3521 CENTREVILLE AVE, BELLEVILLE, IL 62226
Parcel 08-31.0-300-028</x:v>
      </x:c>
      <x:c r="B12" s="15" t="n">
        <x:v>205.41</x:v>
      </x:c>
      <x:c r="C12" s="15" t="n">
        <x:v>684.71</x:v>
      </x:c>
      <x:c r="D12" s="13" t="n">
        <x:f>ROUND(C12-B12,2)</x:f>
        <x:v>479.3</x:v>
      </x:c>
    </x:row>
    <x:row r="13" ht="46" customHeight="1">
      <x:c r="A13" s="9" t="str">
        <x:v>3601 CENTREVILLE AVE, BELLEVILLE, IL 62226
Parcel 08-31.0-300-021</x:v>
      </x:c>
      <x:c r="B13" s="11" t="n">
        <x:v>11.59</x:v>
      </x:c>
      <x:c r="C13" s="11" t="n">
        <x:v>38.65</x:v>
      </x:c>
      <x:c r="D13" s="13" t="n">
        <x:f>ROUND(C13-B13,2)</x:f>
        <x:v>27.06</x:v>
      </x:c>
    </x:row>
    <x:row r="14" ht="46" customHeight="1">
      <x:c r="A14" s="14" t="str">
        <x:v>3601 CENTREVILLE AVE, BELLEVILLE, IL 62226
Parcel 08-31.0-300-022</x:v>
      </x:c>
      <x:c r="B14" s="15" t="n">
        <x:v>16.6</x:v>
      </x:c>
      <x:c r="C14" s="15" t="n">
        <x:v>55.34</x:v>
      </x:c>
      <x:c r="D14" s="13" t="n">
        <x:f>ROUND(C14-B14,2)</x:f>
        <x:v>38.74</x:v>
      </x:c>
    </x:row>
    <x:row r="15" ht="46" customHeight="1">
      <x:c r="A15" s="9" t="str">
        <x:v>3700 CENTREVILLE AVE, BELLEVILLE, IL 62226</x:v>
      </x:c>
      <x:c r="B15" s="11" t="n">
        <x:v>61.02</x:v>
      </x:c>
      <x:c r="C15" s="11" t="n">
        <x:v>203.41</x:v>
      </x:c>
      <x:c r="D15" s="13" t="n">
        <x:f>ROUND(C15-B15,2)</x:f>
        <x:v>142.39</x:v>
      </x:c>
    </x:row>
    <x:row r="16" ht="46" customHeight="1">
      <x:c r="A16" s="14" t="str">
        <x:v>3701 CENTREVILLE AVE, BELLEVILLE, IL 62226</x:v>
      </x:c>
      <x:c r="B16" s="15" t="n">
        <x:v>38.43</x:v>
      </x:c>
      <x:c r="C16" s="15" t="n">
        <x:v>128.11</x:v>
      </x:c>
      <x:c r="D16" s="13" t="n">
        <x:f>ROUND(C16-B16,2)</x:f>
        <x:v>89.68</x:v>
      </x:c>
    </x:row>
    <x:row r="17" ht="46" customHeight="1">
      <x:c r="A17" s="9" t="str">
        <x:v>3705 CENTREVILLE AVE, BELLEVILLE, IL 62226</x:v>
      </x:c>
      <x:c r="B17" s="11" t="n">
        <x:v>46.91</x:v>
      </x:c>
      <x:c r="C17" s="11" t="n">
        <x:v>156.35</x:v>
      </x:c>
      <x:c r="D17" s="13" t="n">
        <x:f>ROUND(C17-B17,2)</x:f>
        <x:v>109.44</x:v>
      </x:c>
    </x:row>
    <x:row r="18" ht="46" customHeight="1">
      <x:c r="A18" s="14" t="str">
        <x:v>3709 CENTREVILLE AVE, BELLEVILLE, IL 62226</x:v>
      </x:c>
      <x:c r="B18" s="15" t="n">
        <x:v>61.31</x:v>
      </x:c>
      <x:c r="C18" s="15" t="n">
        <x:v>204.37</x:v>
      </x:c>
      <x:c r="D18" s="13" t="n">
        <x:f>ROUND(C18-B18,2)</x:f>
        <x:v>143.06</x:v>
      </x:c>
    </x:row>
    <x:row r="19" ht="46" customHeight="1">
      <x:c r="A19" s="9" t="str">
        <x:v>5896 MINE HAUL RD, BELLEVILLE, IL 62223</x:v>
      </x:c>
      <x:c r="B19" s="11" t="n">
        <x:v>68.26</x:v>
      </x:c>
      <x:c r="C19" s="11" t="n">
        <x:v>227.52</x:v>
      </x:c>
      <x:c r="D19" s="13" t="n">
        <x:f>ROUND(C19-B19,2)</x:f>
        <x:v>159.26</x:v>
      </x:c>
    </x:row>
  </x:sheetData>
  <x:sheetProtection algorithmName="SHA-512" hashValue="wB/o7df/ACVAsxINx2ZEIDbJ8t4C5Orlmrgx+0oAc1BWll5qk05h/m36GetRTi5jH0oiiy06+AVFAIWZZrzh2g==" saltValue="tTcg7NJ4lp7cg3KPsFZDnQ==" spinCount="100000" sheet="1" objects="1" scenarios="1"/>
  <x:pageMargins left="0.7" right="0.7" top="0.75" bottom="0.75" header="0.3" footer="0.3"/>
</x:worksheet>
</file>