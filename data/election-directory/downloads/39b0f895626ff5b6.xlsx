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41c6ceb8f140e4" /></Relationships>
</file>

<file path=xl/workbook.xml><?xml version="1.0" encoding="utf-8"?>
<x:workbook xmlns:x="http://schemas.openxmlformats.org/spreadsheetml/2006/main">
  <x:workbookProtection workbookAlgorithmName="SHA-512" workbookHashValue="RRH3IeQDcZgtyU0nE52QQqFdVpgpQWoIoIYA2oCTp7GQWsRoXNHGI7LvWKtKHL3ONelX8MOmp6HVDJ5XHlhXow==" workbookSaltValue="0crAoOAa2TpJsBkjRQe9wg==" workbookSpinCount="100000" lockStructure="1"/>
  <x:sheets>
    <x:sheet xmlns:r="http://schemas.openxmlformats.org/officeDocument/2006/relationships" name="Annual EMS taxes" sheetId="1" r:id="R4803f153dd8049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385aa07ed045dd" /><Relationship Type="http://schemas.openxmlformats.org/officeDocument/2006/relationships/theme" Target="/xl/theme/theme1.xml" Id="R2f010a6b782142c7" /><Relationship Type="http://schemas.openxmlformats.org/officeDocument/2006/relationships/sharedStrings" Target="/xl/sharedStrings.xml" Id="R37bcfd47d9b140d7" /><Relationship Type="http://schemas.openxmlformats.org/officeDocument/2006/relationships/worksheet" Target="/xl/worksheets/sheet1.xml" Id="R4803f153dd8049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25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5380 BENS LN, MILLSTADT, IL 62260</x:v>
      </x:c>
      <x:c r="B7" s="11" t="n">
        <x:v>0</x:v>
      </x:c>
      <x:c r="C7" s="11" t="n">
        <x:v>0</x:v>
      </x:c>
      <x:c r="D7" s="13" t="n">
        <x:f>ROUND(C7-B7,2)</x:f>
        <x:v>0</x:v>
      </x:c>
    </x:row>
    <x:row r="8" ht="46" customHeight="1">
      <x:c r="A8" s="14" t="str">
        <x:v>4959 CLUB CONGRESS RD, WATERLOO, IL 62298</x:v>
      </x:c>
      <x:c r="B8" s="15" t="n">
        <x:v>0</x:v>
      </x:c>
      <x:c r="C8" s="15" t="n">
        <x:v>22.14</x:v>
      </x:c>
      <x:c r="D8" s="13" t="n">
        <x:f>ROUND(C8-B8,2)</x:f>
        <x:v>22.14</x:v>
      </x:c>
    </x:row>
    <x:row r="9" ht="46" customHeight="1">
      <x:c r="A9" s="9" t="str">
        <x:v>3137 LOEHR RD, WATERLOO, IL 62298</x:v>
      </x:c>
      <x:c r="B9" s="11" t="n">
        <x:v>0</x:v>
      </x:c>
      <x:c r="C9" s="11" t="n">
        <x:v>168.98</x:v>
      </x:c>
      <x:c r="D9" s="13" t="n">
        <x:f>ROUND(C9-B9,2)</x:f>
        <x:v>168.98</x:v>
      </x:c>
    </x:row>
    <x:row r="10" ht="46" customHeight="1">
      <x:c r="A10" s="14" t="str">
        <x:v>3145 LOEHR RD, WATERLOO, IL 62298</x:v>
      </x:c>
      <x:c r="B10" s="15" t="n">
        <x:v>0</x:v>
      </x:c>
      <x:c r="C10" s="15" t="n">
        <x:v>486.62</x:v>
      </x:c>
      <x:c r="D10" s="13" t="n">
        <x:f>ROUND(C10-B10,2)</x:f>
        <x:v>486.62</x:v>
      </x:c>
    </x:row>
    <x:row r="11" ht="46" customHeight="1">
      <x:c r="A11" s="9" t="str">
        <x:v>4001 MILLSTADT TWP LINE, MILLSTADT, IL 62260
Parcel 12-25.0-200-001</x:v>
      </x:c>
      <x:c r="B11" s="11" t="n">
        <x:v>17.01</x:v>
      </x:c>
      <x:c r="C11" s="11" t="n">
        <x:v>56.71</x:v>
      </x:c>
      <x:c r="D11" s="13" t="n">
        <x:f>ROUND(C11-B11,2)</x:f>
        <x:v>39.7</x:v>
      </x:c>
    </x:row>
    <x:row r="12" ht="46" customHeight="1">
      <x:c r="A12" s="14" t="str">
        <x:v>4001 MILLSTADT TWP LINE, MILLSTADT, IL 62260
Parcel 12-25.0-200-002</x:v>
      </x:c>
      <x:c r="B12" s="15" t="n">
        <x:v>27.11</x:v>
      </x:c>
      <x:c r="C12" s="15" t="n">
        <x:v>90.37</x:v>
      </x:c>
      <x:c r="D12" s="13" t="n">
        <x:f>ROUND(C12-B12,2)</x:f>
        <x:v>63.26</x:v>
      </x:c>
    </x:row>
    <x:row r="13" ht="46" customHeight="1">
      <x:c r="A13" s="9" t="str">
        <x:v>4227 MILLSTADT TWP LINE RD, BELLEVILLE, IL 62220</x:v>
      </x:c>
      <x:c r="B13" s="11" t="n">
        <x:v>73.67</x:v>
      </x:c>
      <x:c r="C13" s="11" t="n">
        <x:v>245.58</x:v>
      </x:c>
      <x:c r="D13" s="13" t="n">
        <x:f>ROUND(C13-B13,2)</x:f>
        <x:v>171.91</x:v>
      </x:c>
    </x:row>
    <x:row r="14" ht="46" customHeight="1">
      <x:c r="A14" s="14" t="str">
        <x:v>4227 MILLSTADT TWSP LN, BELLEVILLE, IL 62220</x:v>
      </x:c>
      <x:c r="B14" s="15" t="n">
        <x:v>4.07</x:v>
      </x:c>
      <x:c r="C14" s="15" t="n">
        <x:v>13.58</x:v>
      </x:c>
      <x:c r="D14" s="13" t="n">
        <x:f>ROUND(C14-B14,2)</x:f>
        <x:v>9.51</x:v>
      </x:c>
    </x:row>
    <x:row r="15" ht="46" customHeight="1">
      <x:c r="A15" s="9" t="str">
        <x:v>4700 REHEIS RD, WATERLOO, IL 62298</x:v>
      </x:c>
      <x:c r="B15" s="11" t="n">
        <x:v>0</x:v>
      </x:c>
      <x:c r="C15" s="11" t="n">
        <x:v>126.03</x:v>
      </x:c>
      <x:c r="D15" s="13" t="n">
        <x:f>ROUND(C15-B15,2)</x:f>
        <x:v>126.03</x:v>
      </x:c>
    </x:row>
    <x:row r="16" ht="46" customHeight="1">
      <x:c r="A16" s="14" t="str">
        <x:v>4748 REHEIS RD, WATERLOO, IL 62298</x:v>
      </x:c>
      <x:c r="B16" s="15" t="n">
        <x:v>0</x:v>
      </x:c>
      <x:c r="C16" s="15" t="n">
        <x:v>61.5</x:v>
      </x:c>
      <x:c r="D16" s="13" t="n">
        <x:f>ROUND(C16-B16,2)</x:f>
        <x:v>61.5</x:v>
      </x:c>
    </x:row>
    <x:row r="17" ht="46" customHeight="1">
      <x:c r="A17" s="9" t="str">
        <x:v>4434 SCHWAB RD, MILLSTADT, IL 62260</x:v>
      </x:c>
      <x:c r="B17" s="11" t="n">
        <x:v>84.03</x:v>
      </x:c>
      <x:c r="C17" s="11" t="n">
        <x:v>280.1</x:v>
      </x:c>
      <x:c r="D17" s="13" t="n">
        <x:f>ROUND(C17-B17,2)</x:f>
        <x:v>196.07</x:v>
      </x:c>
    </x:row>
    <x:row r="18" ht="46" customHeight="1">
      <x:c r="A18" s="14" t="str">
        <x:v>4500 SCHWAB RD, MILLSTADT, IL 62260</x:v>
      </x:c>
      <x:c r="B18" s="15" t="n">
        <x:v>143.8</x:v>
      </x:c>
      <x:c r="C18" s="15" t="n">
        <x:v>479.33</x:v>
      </x:c>
      <x:c r="D18" s="13" t="n">
        <x:f>ROUND(C18-B18,2)</x:f>
        <x:v>335.53</x:v>
      </x:c>
    </x:row>
    <x:row r="19" ht="46" customHeight="1">
      <x:c r="A19" s="9" t="str">
        <x:v>4525 SCHWAB RD, MILLSTADT, IL 62260</x:v>
      </x:c>
      <x:c r="B19" s="11" t="n">
        <x:v>84.17</x:v>
      </x:c>
      <x:c r="C19" s="11" t="n">
        <x:v>280.57</x:v>
      </x:c>
      <x:c r="D19" s="13" t="n">
        <x:f>ROUND(C19-B19,2)</x:f>
        <x:v>196.4</x:v>
      </x:c>
    </x:row>
    <x:row r="20" ht="46" customHeight="1">
      <x:c r="A20" s="14" t="str">
        <x:v>4528 SCHWAB RD, MILLSTADT, IL 62260</x:v>
      </x:c>
      <x:c r="B20" s="15" t="n">
        <x:v>56.79</x:v>
      </x:c>
      <x:c r="C20" s="15" t="n">
        <x:v>189.31</x:v>
      </x:c>
      <x:c r="D20" s="13" t="n">
        <x:f>ROUND(C20-B20,2)</x:f>
        <x:v>132.52</x:v>
      </x:c>
    </x:row>
    <x:row r="21" ht="46" customHeight="1">
      <x:c r="A21" s="9" t="str">
        <x:v>4550 SCHWAB RD, MILLSTADT, IL 62260</x:v>
      </x:c>
      <x:c r="B21" s="11" t="n">
        <x:v>0</x:v>
      </x:c>
      <x:c r="C21" s="11" t="n">
        <x:v>0</x:v>
      </x:c>
      <x:c r="D21" s="13" t="n">
        <x:f>ROUND(C21-B21,2)</x:f>
        <x:v>0</x:v>
      </x:c>
    </x:row>
    <x:row r="22" ht="46" customHeight="1">
      <x:c r="A22" s="14" t="str">
        <x:v>5510 VOGEL PL, MILLSTADT, IL 62260</x:v>
      </x:c>
      <x:c r="B22" s="15" t="n">
        <x:v>158.22</x:v>
      </x:c>
      <x:c r="C22" s="15" t="n">
        <x:v>527.4</x:v>
      </x:c>
      <x:c r="D22" s="13" t="n">
        <x:f>ROUND(C22-B22,2)</x:f>
        <x:v>369.18</x:v>
      </x:c>
    </x:row>
    <x:row r="23" ht="46" customHeight="1">
      <x:c r="A23" s="9" t="str">
        <x:v>5520 VOGEL PL, MILLSTADT, IL 62260</x:v>
      </x:c>
      <x:c r="B23" s="11" t="n">
        <x:v>122.32</x:v>
      </x:c>
      <x:c r="C23" s="11" t="n">
        <x:v>407.75</x:v>
      </x:c>
      <x:c r="D23" s="13" t="n">
        <x:f>ROUND(C23-B23,2)</x:f>
        <x:v>285.43</x:v>
      </x:c>
    </x:row>
    <x:row r="24" ht="46" customHeight="1">
      <x:c r="A24" s="14" t="str">
        <x:v>5550 VOGEL PL, MILLSTADT, IL 62260</x:v>
      </x:c>
      <x:c r="B24" s="15" t="n">
        <x:v>175.03</x:v>
      </x:c>
      <x:c r="C24" s="15" t="n">
        <x:v>583.43</x:v>
      </x:c>
      <x:c r="D24" s="13" t="n">
        <x:f>ROUND(C24-B24,2)</x:f>
        <x:v>408.4</x:v>
      </x:c>
    </x:row>
    <x:row r="25" ht="46" customHeight="1">
      <x:c r="A25" s="9" t="str">
        <x:v>5600 VOGEL PL, MILLSTADT, IL 62260</x:v>
      </x:c>
      <x:c r="B25" s="11" t="n">
        <x:v>116.89</x:v>
      </x:c>
      <x:c r="C25" s="11" t="n">
        <x:v>389.63</x:v>
      </x:c>
      <x:c r="D25" s="13" t="n">
        <x:f>ROUND(C25-B25,2)</x:f>
        <x:v>272.74</x:v>
      </x:c>
    </x:row>
    <x:row r="26" ht="46" customHeight="1">
      <x:c r="A26" s="14" t="str">
        <x:v>5612 VOGEL PL, MILLSTADT, IL 62260</x:v>
      </x:c>
      <x:c r="B26" s="15" t="n">
        <x:v>370.47</x:v>
      </x:c>
      <x:c r="C26" s="15" t="n">
        <x:v>1234.91</x:v>
      </x:c>
      <x:c r="D26" s="13" t="n">
        <x:f>ROUND(C26-B26,2)</x:f>
        <x:v>864.44</x:v>
      </x:c>
    </x:row>
    <x:row r="27" ht="46" customHeight="1">
      <x:c r="A27" s="9" t="str">
        <x:v>5531 VOGEL RD, MILLSTADT, IL 62260</x:v>
      </x:c>
      <x:c r="B27" s="11" t="n">
        <x:v>155.71</x:v>
      </x:c>
      <x:c r="C27" s="11" t="n">
        <x:v>519.05</x:v>
      </x:c>
      <x:c r="D27" s="13" t="n">
        <x:f>ROUND(C27-B27,2)</x:f>
        <x:v>363.34</x:v>
      </x:c>
    </x:row>
  </x:sheetData>
  <x:sheetProtection algorithmName="SHA-512" hashValue="RRH3IeQDcZgtyU0nE52QQqFdVpgpQWoIoIYA2oCTp7GQWsRoXNHGI7LvWKtKHL3ONelX8MOmp6HVDJ5XHlhXow==" saltValue="0crAoOAa2TpJsBkjRQe9wg==" spinCount="100000" sheet="1" objects="1" scenarios="1"/>
  <x:pageMargins left="0.7" right="0.7" top="0.75" bottom="0.75" header="0.3" footer="0.3"/>
</x:worksheet>
</file>