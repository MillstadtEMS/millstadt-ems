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02ba32a7994dfa" /></Relationships>
</file>

<file path=xl/workbook.xml><?xml version="1.0" encoding="utf-8"?>
<x:workbook xmlns:x="http://schemas.openxmlformats.org/spreadsheetml/2006/main">
  <x:workbookProtection workbookAlgorithmName="SHA-512" workbookHashValue="AZGu4XOIvEfQYd7ERXchcYLYy8mFogoryThtZQckvo0ag+tyS3QttmuY72x7PT8syX/oFyDU3OI/Ku4udiHAOQ==" workbookSaltValue="utMLCUXCNL+nnSY/FggNmQ==" workbookSpinCount="100000" lockStructure="1"/>
  <x:sheets>
    <x:sheet xmlns:r="http://schemas.openxmlformats.org/officeDocument/2006/relationships" name="Annual EMS taxes" sheetId="1" r:id="Rf77fab3b0bb040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1d25489de349a7" /><Relationship Type="http://schemas.openxmlformats.org/officeDocument/2006/relationships/theme" Target="/xl/theme/theme1.xml" Id="R9f1a7833961c48fd" /><Relationship Type="http://schemas.openxmlformats.org/officeDocument/2006/relationships/sharedStrings" Target="/xl/sharedStrings.xml" Id="R05be4f76ed894a7f" /><Relationship Type="http://schemas.openxmlformats.org/officeDocument/2006/relationships/worksheet" Target="/xl/worksheets/sheet1.xml" Id="Rf77fab3b0bb040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HILLVIEW PLACE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7263 ARKE DR, BELLEVILLE, IL 62223</x:v>
      </x:c>
      <x:c r="B7" s="11" t="n">
        <x:v>42.62</x:v>
      </x:c>
      <x:c r="C7" s="11" t="n">
        <x:v>142.06</x:v>
      </x:c>
      <x:c r="D7" s="13" t="n">
        <x:f>ROUND(C7-B7,2)</x:f>
        <x:v>99.44</x:v>
      </x:c>
    </x:row>
    <x:row r="8" ht="46" customHeight="1">
      <x:c r="A8" s="14" t="str">
        <x:v>7301 ARKE DR, BELLEVILLE, IL 62223</x:v>
      </x:c>
      <x:c r="B8" s="15" t="n">
        <x:v>45.66</x:v>
      </x:c>
      <x:c r="C8" s="15" t="n">
        <x:v>152.21</x:v>
      </x:c>
      <x:c r="D8" s="13" t="n">
        <x:f>ROUND(C8-B8,2)</x:f>
        <x:v>106.55</x:v>
      </x:c>
    </x:row>
    <x:row r="9" ht="46" customHeight="1">
      <x:c r="A9" s="9" t="str">
        <x:v>7305 ARKE DR, BELLEVILLE, IL 62223</x:v>
      </x:c>
      <x:c r="B9" s="11" t="n">
        <x:v>46.55</x:v>
      </x:c>
      <x:c r="C9" s="11" t="n">
        <x:v>155.17</x:v>
      </x:c>
      <x:c r="D9" s="13" t="n">
        <x:f>ROUND(C9-B9,2)</x:f>
        <x:v>108.62</x:v>
      </x:c>
    </x:row>
    <x:row r="10" ht="46" customHeight="1">
      <x:c r="A10" s="14" t="str">
        <x:v>7309 ARKE DR, BELLEVILLE, IL 62223</x:v>
      </x:c>
      <x:c r="B10" s="15" t="n">
        <x:v>0</x:v>
      </x:c>
      <x:c r="C10" s="15" t="n">
        <x:v>0</x:v>
      </x:c>
      <x:c r="D10" s="13" t="n">
        <x:f>ROUND(C10-B10,2)</x:f>
        <x:v>0</x:v>
      </x:c>
    </x:row>
    <x:row r="11" ht="46" customHeight="1">
      <x:c r="A11" s="9" t="str">
        <x:v>7312 ARKE DR, BELLEVILLE, IL 62223</x:v>
      </x:c>
      <x:c r="B11" s="11" t="n">
        <x:v>6.84</x:v>
      </x:c>
      <x:c r="C11" s="11" t="n">
        <x:v>22.8</x:v>
      </x:c>
      <x:c r="D11" s="13" t="n">
        <x:f>ROUND(C11-B11,2)</x:f>
        <x:v>15.96</x:v>
      </x:c>
    </x:row>
    <x:row r="12" ht="46" customHeight="1">
      <x:c r="A12" s="14" t="str">
        <x:v>7313 ARKE DR, BELLEVILLE, IL 62223</x:v>
      </x:c>
      <x:c r="B12" s="15" t="n">
        <x:v>9.79</x:v>
      </x:c>
      <x:c r="C12" s="15" t="n">
        <x:v>32.64</x:v>
      </x:c>
      <x:c r="D12" s="13" t="n">
        <x:f>ROUND(C12-B12,2)</x:f>
        <x:v>22.85</x:v>
      </x:c>
    </x:row>
    <x:row r="13" ht="46" customHeight="1">
      <x:c r="A13" s="9" t="str">
        <x:v>7316 ARKE DR, BELLEVILLE, IL 62223</x:v>
      </x:c>
      <x:c r="B13" s="11" t="n">
        <x:v>44.33</x:v>
      </x:c>
      <x:c r="C13" s="11" t="n">
        <x:v>147.75</x:v>
      </x:c>
      <x:c r="D13" s="13" t="n">
        <x:f>ROUND(C13-B13,2)</x:f>
        <x:v>103.42</x:v>
      </x:c>
    </x:row>
    <x:row r="14" ht="46" customHeight="1">
      <x:c r="A14" s="14" t="str">
        <x:v>7317 ARKE DR, BELLEVILLE, IL 62223</x:v>
      </x:c>
      <x:c r="B14" s="15" t="n">
        <x:v>57.13</x:v>
      </x:c>
      <x:c r="C14" s="15" t="n">
        <x:v>190.44</x:v>
      </x:c>
      <x:c r="D14" s="13" t="n">
        <x:f>ROUND(C14-B14,2)</x:f>
        <x:v>133.31</x:v>
      </x:c>
    </x:row>
    <x:row r="15" ht="46" customHeight="1">
      <x:c r="A15" s="9" t="str">
        <x:v>7320 ARKE DR, BELLEVILLE, IL 62223</x:v>
      </x:c>
      <x:c r="B15" s="11" t="n">
        <x:v>41.1</x:v>
      </x:c>
      <x:c r="C15" s="11" t="n">
        <x:v>137.01</x:v>
      </x:c>
      <x:c r="D15" s="13" t="n">
        <x:f>ROUND(C15-B15,2)</x:f>
        <x:v>95.91</x:v>
      </x:c>
    </x:row>
    <x:row r="16" ht="46" customHeight="1">
      <x:c r="A16" s="14" t="str">
        <x:v>7321 ARKE DR, BELLEVILLE, IL 62223</x:v>
      </x:c>
      <x:c r="B16" s="15" t="n">
        <x:v>49.64</x:v>
      </x:c>
      <x:c r="C16" s="15" t="n">
        <x:v>165.47</x:v>
      </x:c>
      <x:c r="D16" s="13" t="n">
        <x:f>ROUND(C16-B16,2)</x:f>
        <x:v>115.83</x:v>
      </x:c>
    </x:row>
    <x:row r="17" ht="46" customHeight="1">
      <x:c r="A17" s="9" t="str">
        <x:v>7324 ARKE DR, BELLEVILLE, IL 62223</x:v>
      </x:c>
      <x:c r="B17" s="11" t="n">
        <x:v>13.75</x:v>
      </x:c>
      <x:c r="C17" s="11" t="n">
        <x:v>45.82</x:v>
      </x:c>
      <x:c r="D17" s="13" t="n">
        <x:f>ROUND(C17-B17,2)</x:f>
        <x:v>32.07</x:v>
      </x:c>
    </x:row>
    <x:row r="18" ht="46" customHeight="1">
      <x:c r="A18" s="14" t="str">
        <x:v>7329 ARKE DR, BELLEVILLE, IL 62223</x:v>
      </x:c>
      <x:c r="B18" s="15" t="n">
        <x:v>59.24</x:v>
      </x:c>
      <x:c r="C18" s="15" t="n">
        <x:v>197.45</x:v>
      </x:c>
      <x:c r="D18" s="13" t="n">
        <x:f>ROUND(C18-B18,2)</x:f>
        <x:v>138.21</x:v>
      </x:c>
    </x:row>
    <x:row r="19" ht="46" customHeight="1">
      <x:c r="A19" s="9" t="str">
        <x:v>7345 ARKE DR, BELLEVILLE, IL 62223</x:v>
      </x:c>
      <x:c r="B19" s="11" t="n">
        <x:v>28.29</x:v>
      </x:c>
      <x:c r="C19" s="11" t="n">
        <x:v>94.3</x:v>
      </x:c>
      <x:c r="D19" s="13" t="n">
        <x:f>ROUND(C19-B19,2)</x:f>
        <x:v>66.01</x:v>
      </x:c>
    </x:row>
    <x:row r="20" ht="46" customHeight="1">
      <x:c r="A20" s="14" t="str">
        <x:v>8400 HILLVIEW DR, BELLEVILLE, IL 62223</x:v>
      </x:c>
      <x:c r="B20" s="15" t="n">
        <x:v>37.67</x:v>
      </x:c>
      <x:c r="C20" s="15" t="n">
        <x:v>125.56</x:v>
      </x:c>
      <x:c r="D20" s="13" t="n">
        <x:f>ROUND(C20-B20,2)</x:f>
        <x:v>87.89</x:v>
      </x:c>
    </x:row>
    <x:row r="21" ht="46" customHeight="1">
      <x:c r="A21" s="9" t="str">
        <x:v>8401 HILLVIEW DR, BELLEVILLE, IL 62223</x:v>
      </x:c>
      <x:c r="B21" s="11" t="n">
        <x:v>54.92</x:v>
      </x:c>
      <x:c r="C21" s="11" t="n">
        <x:v>183.07</x:v>
      </x:c>
      <x:c r="D21" s="13" t="n">
        <x:f>ROUND(C21-B21,2)</x:f>
        <x:v>128.15</x:v>
      </x:c>
    </x:row>
    <x:row r="22" ht="46" customHeight="1">
      <x:c r="A22" s="14" t="str">
        <x:v>8404 HILLVIEW DR, BELLEVILLE, IL 62223</x:v>
      </x:c>
      <x:c r="B22" s="15" t="n">
        <x:v>43.37</x:v>
      </x:c>
      <x:c r="C22" s="15" t="n">
        <x:v>144.56</x:v>
      </x:c>
      <x:c r="D22" s="13" t="n">
        <x:f>ROUND(C22-B22,2)</x:f>
        <x:v>101.19</x:v>
      </x:c>
    </x:row>
    <x:row r="23" ht="46" customHeight="1">
      <x:c r="A23" s="9" t="str">
        <x:v>8405 HILLVIEW DR, BELLEVILLE, IL 62223</x:v>
      </x:c>
      <x:c r="B23" s="11" t="n">
        <x:v>63.81</x:v>
      </x:c>
      <x:c r="C23" s="11" t="n">
        <x:v>212.7</x:v>
      </x:c>
      <x:c r="D23" s="13" t="n">
        <x:f>ROUND(C23-B23,2)</x:f>
        <x:v>148.89</x:v>
      </x:c>
    </x:row>
    <x:row r="24" ht="46" customHeight="1">
      <x:c r="A24" s="14" t="str">
        <x:v>8408 HILLVIEW DR, BELLEVILLE, IL 62223</x:v>
      </x:c>
      <x:c r="B24" s="15" t="n">
        <x:v>36.28</x:v>
      </x:c>
      <x:c r="C24" s="15" t="n">
        <x:v>120.92</x:v>
      </x:c>
      <x:c r="D24" s="13" t="n">
        <x:f>ROUND(C24-B24,2)</x:f>
        <x:v>84.64</x:v>
      </x:c>
    </x:row>
    <x:row r="25" ht="46" customHeight="1">
      <x:c r="A25" s="9" t="str">
        <x:v>8409 HILLVIEW DR, BELLEVILLE, IL 62223</x:v>
      </x:c>
      <x:c r="B25" s="11" t="n">
        <x:v>36.39</x:v>
      </x:c>
      <x:c r="C25" s="11" t="n">
        <x:v>121.28</x:v>
      </x:c>
      <x:c r="D25" s="13" t="n">
        <x:f>ROUND(C25-B25,2)</x:f>
        <x:v>84.89</x:v>
      </x:c>
    </x:row>
    <x:row r="26" ht="46" customHeight="1">
      <x:c r="A26" s="14" t="str">
        <x:v>8412 HILLVIEW DR, BELLEVILLE, IL 62223</x:v>
      </x:c>
      <x:c r="B26" s="15" t="n">
        <x:v>45.74</x:v>
      </x:c>
      <x:c r="C26" s="15" t="n">
        <x:v>152.46</x:v>
      </x:c>
      <x:c r="D26" s="13" t="n">
        <x:f>ROUND(C26-B26,2)</x:f>
        <x:v>106.72</x:v>
      </x:c>
    </x:row>
    <x:row r="27" ht="46" customHeight="1">
      <x:c r="A27" s="9" t="str">
        <x:v>8413 HILLVIEW DR, BELLEVILLE, IL 62223</x:v>
      </x:c>
      <x:c r="B27" s="11" t="n">
        <x:v>35.96</x:v>
      </x:c>
      <x:c r="C27" s="11" t="n">
        <x:v>119.87</x:v>
      </x:c>
      <x:c r="D27" s="13" t="n">
        <x:f>ROUND(C27-B27,2)</x:f>
        <x:v>83.91</x:v>
      </x:c>
    </x:row>
    <x:row r="28" ht="46" customHeight="1">
      <x:c r="A28" s="14" t="str">
        <x:v>8416 HILLVIEW DR, BELLEVILLE, IL 62223</x:v>
      </x:c>
      <x:c r="B28" s="15" t="n">
        <x:v>46.36</x:v>
      </x:c>
      <x:c r="C28" s="15" t="n">
        <x:v>154.53</x:v>
      </x:c>
      <x:c r="D28" s="13" t="n">
        <x:f>ROUND(C28-B28,2)</x:f>
        <x:v>108.17</x:v>
      </x:c>
    </x:row>
    <x:row r="29" ht="46" customHeight="1">
      <x:c r="A29" s="9" t="str">
        <x:v>8417 HILLVIEW DR, BELLEVILLE, IL 62223</x:v>
      </x:c>
      <x:c r="B29" s="11" t="n">
        <x:v>48.41</x:v>
      </x:c>
      <x:c r="C29" s="11" t="n">
        <x:v>161.38</x:v>
      </x:c>
      <x:c r="D29" s="13" t="n">
        <x:f>ROUND(C29-B29,2)</x:f>
        <x:v>112.97</x:v>
      </x:c>
    </x:row>
    <x:row r="30" ht="46" customHeight="1">
      <x:c r="A30" s="14" t="str">
        <x:v>8420 HILLVIEW DR, BELLEVILLE, IL 62223
Parcel 07-16.0-305-006</x:v>
      </x:c>
      <x:c r="B30" s="15" t="n">
        <x:v>16.87</x:v>
      </x:c>
      <x:c r="C30" s="15" t="n">
        <x:v>56.22</x:v>
      </x:c>
      <x:c r="D30" s="13" t="n">
        <x:f>ROUND(C30-B30,2)</x:f>
        <x:v>39.35</x:v>
      </x:c>
    </x:row>
    <x:row r="31" ht="46" customHeight="1">
      <x:c r="A31" s="9" t="str">
        <x:v>8420 HILLVIEW DR, BELLEVILLE, IL 62223
Parcel 07-16.0-305-007</x:v>
      </x:c>
      <x:c r="B31" s="11" t="n">
        <x:v>3.2</x:v>
      </x:c>
      <x:c r="C31" s="11" t="n">
        <x:v>10.66</x:v>
      </x:c>
      <x:c r="D31" s="13" t="n">
        <x:f>ROUND(C31-B31,2)</x:f>
        <x:v>7.46</x:v>
      </x:c>
    </x:row>
    <x:row r="32" ht="46" customHeight="1">
      <x:c r="A32" s="14" t="str">
        <x:v>8421 HILLVIEW DR, BELLEVILLE, IL 62223</x:v>
      </x:c>
      <x:c r="B32" s="15" t="n">
        <x:v>39.38</x:v>
      </x:c>
      <x:c r="C32" s="15" t="n">
        <x:v>131.28</x:v>
      </x:c>
      <x:c r="D32" s="13" t="n">
        <x:f>ROUND(C32-B32,2)</x:f>
        <x:v>91.9</x:v>
      </x:c>
    </x:row>
    <x:row r="33" ht="46" customHeight="1">
      <x:c r="A33" s="9" t="str">
        <x:v>8425 HILLVIEW DR, BELLEVILLE, IL 62223</x:v>
      </x:c>
      <x:c r="B33" s="11" t="n">
        <x:v>0</x:v>
      </x:c>
      <x:c r="C33" s="11" t="n">
        <x:v>0</x:v>
      </x:c>
      <x:c r="D33" s="13" t="n">
        <x:f>ROUND(C33-B33,2)</x:f>
        <x:v>0</x:v>
      </x:c>
    </x:row>
    <x:row r="34" ht="46" customHeight="1">
      <x:c r="A34" s="14" t="str">
        <x:v>8429 HILLVIEW DR, BELLEVILLE, IL 62223</x:v>
      </x:c>
      <x:c r="B34" s="15" t="n">
        <x:v>49.9</x:v>
      </x:c>
      <x:c r="C34" s="15" t="n">
        <x:v>166.34</x:v>
      </x:c>
      <x:c r="D34" s="13" t="n">
        <x:f>ROUND(C34-B34,2)</x:f>
        <x:v>116.44</x:v>
      </x:c>
    </x:row>
    <x:row r="35" ht="46" customHeight="1">
      <x:c r="A35" s="9" t="str">
        <x:v>7265 TOWN HALL RD, BELLEVILLE, IL 62223</x:v>
      </x:c>
      <x:c r="B35" s="11" t="n">
        <x:v>0</x:v>
      </x:c>
      <x:c r="C35" s="11" t="n">
        <x:v>0</x:v>
      </x:c>
      <x:c r="D35" s="13" t="n">
        <x:f>ROUND(C35-B35,2)</x:f>
        <x:v>0</x:v>
      </x:c>
    </x:row>
  </x:sheetData>
  <x:sheetProtection algorithmName="SHA-512" hashValue="AZGu4XOIvEfQYd7ERXchcYLYy8mFogoryThtZQckvo0ag+tyS3QttmuY72x7PT8syX/oFyDU3OI/Ku4udiHAOQ==" saltValue="utMLCUXCNL+nnSY/FggNmQ==" spinCount="100000" sheet="1" objects="1" scenarios="1"/>
  <x:pageMargins left="0.7" right="0.7" top="0.75" bottom="0.75" header="0.3" footer="0.3"/>
</x:worksheet>
</file>