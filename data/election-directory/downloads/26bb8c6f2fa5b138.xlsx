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539bac10e45ba" /></Relationships>
</file>

<file path=xl/workbook.xml><?xml version="1.0" encoding="utf-8"?>
<x:workbook xmlns:x="http://schemas.openxmlformats.org/spreadsheetml/2006/main">
  <x:workbookProtection workbookAlgorithmName="SHA-512" workbookHashValue="MK6nOQvHZmNakDgttH+8X1b8HJ8EbIUFEoCCKmVAIrzmNeGKGJKTQDyjCZTE7QTXJQgMjCjaPjHETsTKJJ5/0Q==" workbookSaltValue="2ZY809oekAdY5z//jYLlog==" workbookSpinCount="100000" lockStructure="1"/>
  <x:sheets>
    <x:sheet xmlns:r="http://schemas.openxmlformats.org/officeDocument/2006/relationships" name="Annual EMS taxes" sheetId="1" r:id="R9781207ca8ed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25180c8ea4e9c" /><Relationship Type="http://schemas.openxmlformats.org/officeDocument/2006/relationships/theme" Target="/xl/theme/theme1.xml" Id="R4990858dedb04662" /><Relationship Type="http://schemas.openxmlformats.org/officeDocument/2006/relationships/sharedStrings" Target="/xl/sharedStrings.xml" Id="R53175286338e41d8" /><Relationship Type="http://schemas.openxmlformats.org/officeDocument/2006/relationships/worksheet" Target="/xl/worksheets/sheet1.xml" Id="R9781207ca8ed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COLONIAL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 CONCORD DR, MILLSTADT, IL 62260
Parcel 12-16.0-201-002</x:v>
      </x:c>
      <x:c r="B7" s="11" t="n">
        <x:v>0.21</x:v>
      </x:c>
      <x:c r="C7" s="11" t="n">
        <x:v>0.7</x:v>
      </x:c>
      <x:c r="D7" s="13" t="n">
        <x:f>ROUND(C7-B7,2)</x:f>
        <x:v>0.49</x:v>
      </x:c>
    </x:row>
    <x:row r="8" ht="46" customHeight="1">
      <x:c r="A8" s="14" t="str">
        <x:v>9 CONCORD DR, MILLSTADT, IL 62260
Parcel 12-16.0-201-004</x:v>
      </x:c>
      <x:c r="B8" s="15" t="n">
        <x:v>60.38</x:v>
      </x:c>
      <x:c r="C8" s="15" t="n">
        <x:v>201.26</x:v>
      </x:c>
      <x:c r="D8" s="13" t="n">
        <x:f>ROUND(C8-B8,2)</x:f>
        <x:v>140.88</x:v>
      </x:c>
    </x:row>
    <x:row r="9" ht="46" customHeight="1">
      <x:c r="A9" s="9" t="str">
        <x:v>11 CONCORD DR, MILLSTADT, IL 62260</x:v>
      </x:c>
      <x:c r="B9" s="11" t="n">
        <x:v>56.98</x:v>
      </x:c>
      <x:c r="C9" s="11" t="n">
        <x:v>189.94</x:v>
      </x:c>
      <x:c r="D9" s="13" t="n">
        <x:f>ROUND(C9-B9,2)</x:f>
        <x:v>132.96</x:v>
      </x:c>
    </x:row>
    <x:row r="10" ht="46" customHeight="1">
      <x:c r="A10" s="14" t="str">
        <x:v>15 CONCORD DR, MILLSTADT, IL 62260</x:v>
      </x:c>
      <x:c r="B10" s="15" t="n">
        <x:v>51.7</x:v>
      </x:c>
      <x:c r="C10" s="15" t="n">
        <x:v>172.33</x:v>
      </x:c>
      <x:c r="D10" s="13" t="n">
        <x:f>ROUND(C10-B10,2)</x:f>
        <x:v>120.63</x:v>
      </x:c>
    </x:row>
    <x:row r="11" ht="46" customHeight="1">
      <x:c r="A11" s="9" t="str">
        <x:v>19 CONCORD DR, MILLSTADT, IL 62260</x:v>
      </x:c>
      <x:c r="B11" s="11" t="n">
        <x:v>62.02</x:v>
      </x:c>
      <x:c r="C11" s="11" t="n">
        <x:v>206.74</x:v>
      </x:c>
      <x:c r="D11" s="13" t="n">
        <x:f>ROUND(C11-B11,2)</x:f>
        <x:v>144.72</x:v>
      </x:c>
    </x:row>
    <x:row r="12" ht="46" customHeight="1">
      <x:c r="A12" s="14" t="str">
        <x:v>11 LEXINGTON DR, MILLSTADT, IL 62260</x:v>
      </x:c>
      <x:c r="B12" s="15" t="n">
        <x:v>62.79</x:v>
      </x:c>
      <x:c r="C12" s="15" t="n">
        <x:v>209.31</x:v>
      </x:c>
      <x:c r="D12" s="13" t="n">
        <x:f>ROUND(C12-B12,2)</x:f>
        <x:v>146.52</x:v>
      </x:c>
    </x:row>
    <x:row r="13" ht="46" customHeight="1">
      <x:c r="A13" s="9" t="str">
        <x:v>103 LEXINGTON DR, MILLSTADT, IL 62260</x:v>
      </x:c>
      <x:c r="B13" s="11" t="n">
        <x:v>26.6</x:v>
      </x:c>
      <x:c r="C13" s="11" t="n">
        <x:v>88.68</x:v>
      </x:c>
      <x:c r="D13" s="13" t="n">
        <x:f>ROUND(C13-B13,2)</x:f>
        <x:v>62.08</x:v>
      </x:c>
    </x:row>
    <x:row r="14" ht="46" customHeight="1">
      <x:c r="A14" s="14" t="str">
        <x:v>104 LEXINGTON DR, MILLSTADT, IL 62260</x:v>
      </x:c>
      <x:c r="B14" s="15" t="n">
        <x:v>55.83</x:v>
      </x:c>
      <x:c r="C14" s="15" t="n">
        <x:v>186.11</x:v>
      </x:c>
      <x:c r="D14" s="13" t="n">
        <x:f>ROUND(C14-B14,2)</x:f>
        <x:v>130.28</x:v>
      </x:c>
    </x:row>
    <x:row r="15" ht="46" customHeight="1">
      <x:c r="A15" s="9" t="str">
        <x:v>108 LEXINGTON DR, MILLSTADT, IL 62260</x:v>
      </x:c>
      <x:c r="B15" s="11" t="n">
        <x:v>62.71</x:v>
      </x:c>
      <x:c r="C15" s="11" t="n">
        <x:v>209.03</x:v>
      </x:c>
      <x:c r="D15" s="13" t="n">
        <x:f>ROUND(C15-B15,2)</x:f>
        <x:v>146.32</x:v>
      </x:c>
    </x:row>
    <x:row r="16" ht="46" customHeight="1">
      <x:c r="A16" s="14" t="str">
        <x:v>112 LEXINGTON DR, MILLSTADT, IL 62260</x:v>
      </x:c>
      <x:c r="B16" s="15" t="n">
        <x:v>53.96</x:v>
      </x:c>
      <x:c r="C16" s="15" t="n">
        <x:v>179.88</x:v>
      </x:c>
      <x:c r="D16" s="13" t="n">
        <x:f>ROUND(C16-B16,2)</x:f>
        <x:v>125.92</x:v>
      </x:c>
    </x:row>
    <x:row r="17" ht="46" customHeight="1">
      <x:c r="A17" s="9" t="str">
        <x:v>118 LEXINGTON DR, MILLSTADT, IL 62260</x:v>
      </x:c>
      <x:c r="B17" s="11" t="n">
        <x:v>66.64</x:v>
      </x:c>
      <x:c r="C17" s="11" t="n">
        <x:v>222.14</x:v>
      </x:c>
      <x:c r="D17" s="13" t="n">
        <x:f>ROUND(C17-B17,2)</x:f>
        <x:v>155.5</x:v>
      </x:c>
    </x:row>
    <x:row r="18" ht="46" customHeight="1">
      <x:c r="A18" s="14" t="str">
        <x:v>123 LEXINGTON DR, MILLSTADT, IL 62260</x:v>
      </x:c>
      <x:c r="B18" s="15" t="n">
        <x:v>54.95</x:v>
      </x:c>
      <x:c r="C18" s="15" t="n">
        <x:v>183.18</x:v>
      </x:c>
      <x:c r="D18" s="13" t="n">
        <x:f>ROUND(C18-B18,2)</x:f>
        <x:v>128.23</x:v>
      </x:c>
    </x:row>
    <x:row r="19" ht="46" customHeight="1">
      <x:c r="A19" s="9" t="str">
        <x:v>124 LEXINGTON DR, MILLSTADT, IL 62260</x:v>
      </x:c>
      <x:c r="B19" s="11" t="n">
        <x:v>47.87</x:v>
      </x:c>
      <x:c r="C19" s="11" t="n">
        <x:v>159.57</x:v>
      </x:c>
      <x:c r="D19" s="13" t="n">
        <x:f>ROUND(C19-B19,2)</x:f>
        <x:v>111.7</x:v>
      </x:c>
    </x:row>
    <x:row r="20" ht="46" customHeight="1">
      <x:c r="A20" s="14" t="str">
        <x:v>130 LEXINGTON DR, MILLSTADT, IL 62260</x:v>
      </x:c>
      <x:c r="B20" s="15" t="n">
        <x:v>61.01</x:v>
      </x:c>
      <x:c r="C20" s="15" t="n">
        <x:v>203.37</x:v>
      </x:c>
      <x:c r="D20" s="13" t="n">
        <x:f>ROUND(C20-B20,2)</x:f>
        <x:v>142.36</x:v>
      </x:c>
    </x:row>
    <x:row r="21" ht="46" customHeight="1">
      <x:c r="A21" s="9" t="str">
        <x:v>131 LEXINGTON DR, MILLSTADT, IL 62260</x:v>
      </x:c>
      <x:c r="B21" s="11" t="n">
        <x:v>49.13</x:v>
      </x:c>
      <x:c r="C21" s="11" t="n">
        <x:v>163.76</x:v>
      </x:c>
      <x:c r="D21" s="13" t="n">
        <x:f>ROUND(C21-B21,2)</x:f>
        <x:v>114.63</x:v>
      </x:c>
    </x:row>
    <x:row r="22" ht="46" customHeight="1">
      <x:c r="A22" s="14" t="str">
        <x:v>134 LEXINGTON DR, MILLSTADT, IL 62260</x:v>
      </x:c>
      <x:c r="B22" s="15" t="n">
        <x:v>49.15</x:v>
      </x:c>
      <x:c r="C22" s="15" t="n">
        <x:v>163.82</x:v>
      </x:c>
      <x:c r="D22" s="13" t="n">
        <x:f>ROUND(C22-B22,2)</x:f>
        <x:v>114.67</x:v>
      </x:c>
    </x:row>
    <x:row r="23" ht="46" customHeight="1">
      <x:c r="A23" s="9" t="str">
        <x:v>139 LEXINGTON DR, MILLSTADT, IL 62260</x:v>
      </x:c>
      <x:c r="B23" s="11" t="n">
        <x:v>50.89</x:v>
      </x:c>
      <x:c r="C23" s="11" t="n">
        <x:v>169.64</x:v>
      </x:c>
      <x:c r="D23" s="13" t="n">
        <x:f>ROUND(C23-B23,2)</x:f>
        <x:v>118.75</x:v>
      </x:c>
    </x:row>
    <x:row r="24" ht="46" customHeight="1">
      <x:c r="A24" s="14" t="str">
        <x:v>140 LEXINGTON DR, MILLSTADT, IL 62260</x:v>
      </x:c>
      <x:c r="B24" s="15" t="n">
        <x:v>46.07</x:v>
      </x:c>
      <x:c r="C24" s="15" t="n">
        <x:v>153.57</x:v>
      </x:c>
      <x:c r="D24" s="13" t="n">
        <x:f>ROUND(C24-B24,2)</x:f>
        <x:v>107.5</x:v>
      </x:c>
    </x:row>
    <x:row r="25" ht="46" customHeight="1">
      <x:c r="A25" s="9" t="str">
        <x:v>145 LEXINGTON DR, MILLSTADT, IL 62260</x:v>
      </x:c>
      <x:c r="B25" s="11" t="n">
        <x:v>7.24</x:v>
      </x:c>
      <x:c r="C25" s="11" t="n">
        <x:v>24.12</x:v>
      </x:c>
      <x:c r="D25" s="13" t="n">
        <x:f>ROUND(C25-B25,2)</x:f>
        <x:v>16.88</x:v>
      </x:c>
    </x:row>
    <x:row r="26" ht="46" customHeight="1">
      <x:c r="A26" s="14" t="str">
        <x:v>146 LEXINGTON DR, MILLSTADT, IL 62260</x:v>
      </x:c>
      <x:c r="B26" s="15" t="n">
        <x:v>27.67</x:v>
      </x:c>
      <x:c r="C26" s="15" t="n">
        <x:v>92.23</x:v>
      </x:c>
      <x:c r="D26" s="13" t="n">
        <x:f>ROUND(C26-B26,2)</x:f>
        <x:v>64.56</x:v>
      </x:c>
    </x:row>
    <x:row r="27" ht="46" customHeight="1">
      <x:c r="A27" s="9" t="str">
        <x:v>151 LEXINGTON DR, MILLSTADT, IL 62260</x:v>
      </x:c>
      <x:c r="B27" s="11" t="n">
        <x:v>57.4</x:v>
      </x:c>
      <x:c r="C27" s="11" t="n">
        <x:v>191.33</x:v>
      </x:c>
      <x:c r="D27" s="13" t="n">
        <x:f>ROUND(C27-B27,2)</x:f>
        <x:v>133.93</x:v>
      </x:c>
    </x:row>
    <x:row r="28" ht="46" customHeight="1">
      <x:c r="A28" s="14" t="str">
        <x:v>152 LEXINGTON DR, MILLSTADT, IL 62260</x:v>
      </x:c>
      <x:c r="B28" s="15" t="n">
        <x:v>38.42</x:v>
      </x:c>
      <x:c r="C28" s="15" t="n">
        <x:v>128.05</x:v>
      </x:c>
      <x:c r="D28" s="13" t="n">
        <x:f>ROUND(C28-B28,2)</x:f>
        <x:v>89.63</x:v>
      </x:c>
    </x:row>
    <x:row r="29" ht="46" customHeight="1">
      <x:c r="A29" s="9" t="str">
        <x:v>158 LEXINGTON DR, MILLSTADT, IL 62260</x:v>
      </x:c>
      <x:c r="B29" s="11" t="n">
        <x:v>67.36</x:v>
      </x:c>
      <x:c r="C29" s="11" t="n">
        <x:v>224.54</x:v>
      </x:c>
      <x:c r="D29" s="13" t="n">
        <x:f>ROUND(C29-B29,2)</x:f>
        <x:v>157.18</x:v>
      </x:c>
    </x:row>
    <x:row r="30" ht="46" customHeight="1">
      <x:c r="A30" s="14" t="str">
        <x:v>162 LEXINGTON DR, MILLSTADT, IL 62260</x:v>
      </x:c>
      <x:c r="B30" s="15" t="n">
        <x:v>52.76</x:v>
      </x:c>
      <x:c r="C30" s="15" t="n">
        <x:v>175.88</x:v>
      </x:c>
      <x:c r="D30" s="13" t="n">
        <x:f>ROUND(C30-B30,2)</x:f>
        <x:v>123.12</x:v>
      </x:c>
    </x:row>
  </x:sheetData>
  <x:sheetProtection algorithmName="SHA-512" hashValue="MK6nOQvHZmNakDgttH+8X1b8HJ8EbIUFEoCCKmVAIrzmNeGKGJKTQDyjCZTE7QTXJQgMjCjaPjHETsTKJJ5/0Q==" saltValue="2ZY809oekAdY5z//jYLlog==" spinCount="100000" sheet="1" objects="1" scenarios="1"/>
  <x:pageMargins left="0.7" right="0.7" top="0.75" bottom="0.75" header="0.3" footer="0.3"/>
</x:worksheet>
</file>