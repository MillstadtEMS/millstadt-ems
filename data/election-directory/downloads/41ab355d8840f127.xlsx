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86f316a1e4fe5" /></Relationships>
</file>

<file path=xl/workbook.xml><?xml version="1.0" encoding="utf-8"?>
<x:workbook xmlns:x="http://schemas.openxmlformats.org/spreadsheetml/2006/main">
  <x:workbookProtection workbookAlgorithmName="SHA-512" workbookHashValue="awoHiHHhyCIGi7PNpVYSqIFt/vk3SRDOs/Lox0UVPppBExsEBoVdjNBseV2qhBaJLDnMiUygJgpvDM4LekELGg==" workbookSaltValue="O+gtF3CVrTuu4qt1vTeq1Q==" workbookSpinCount="100000" lockStructure="1"/>
  <x:sheets>
    <x:sheet xmlns:r="http://schemas.openxmlformats.org/officeDocument/2006/relationships" name="Annual EMS taxes" sheetId="1" r:id="Rec657a74e872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49586560b40ac" /><Relationship Type="http://schemas.openxmlformats.org/officeDocument/2006/relationships/theme" Target="/xl/theme/theme1.xml" Id="R9710b37498fb44db" /><Relationship Type="http://schemas.openxmlformats.org/officeDocument/2006/relationships/sharedStrings" Target="/xl/sharedStrings.xml" Id="Rb54141873f3144c9" /><Relationship Type="http://schemas.openxmlformats.org/officeDocument/2006/relationships/worksheet" Target="/xl/worksheets/sheet1.xml" Id="Rec657a74e8724e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THE MANORS OF MILLSTADT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2018 CERNEY CT, MILLSTADT, IL 62260</x:v>
      </x:c>
      <x:c r="B7" s="11" t="n">
        <x:v>155.39</x:v>
      </x:c>
      <x:c r="C7" s="11" t="n">
        <x:v>517.97</x:v>
      </x:c>
      <x:c r="D7" s="13" t="n">
        <x:f>ROUND(C7-B7,2)</x:f>
        <x:v>362.58</x:v>
      </x:c>
    </x:row>
    <x:row r="8" ht="46" customHeight="1">
      <x:c r="A8" s="14" t="str">
        <x:v>2019 CERNEY CT, MILLSTADT, IL 62260</x:v>
      </x:c>
      <x:c r="B8" s="15" t="n">
        <x:v>103.5</x:v>
      </x:c>
      <x:c r="C8" s="15" t="n">
        <x:v>344.99</x:v>
      </x:c>
      <x:c r="D8" s="13" t="n">
        <x:f>ROUND(C8-B8,2)</x:f>
        <x:v>241.49</x:v>
      </x:c>
    </x:row>
    <x:row r="9" ht="46" customHeight="1">
      <x:c r="A9" s="9" t="str">
        <x:v>2022 CERNEY CT, MILLSTADT, IL 62260</x:v>
      </x:c>
      <x:c r="B9" s="11" t="n">
        <x:v>120.4</x:v>
      </x:c>
      <x:c r="C9" s="11" t="n">
        <x:v>401.34</x:v>
      </x:c>
      <x:c r="D9" s="13" t="n">
        <x:f>ROUND(C9-B9,2)</x:f>
        <x:v>280.94</x:v>
      </x:c>
    </x:row>
    <x:row r="10" ht="46" customHeight="1">
      <x:c r="A10" s="14" t="str">
        <x:v>2023 CERNEY CT, MILLSTADT, IL 62260</x:v>
      </x:c>
      <x:c r="B10" s="15" t="n">
        <x:v>108.15</x:v>
      </x:c>
      <x:c r="C10" s="15" t="n">
        <x:v>360.5</x:v>
      </x:c>
      <x:c r="D10" s="13" t="n">
        <x:f>ROUND(C10-B10,2)</x:f>
        <x:v>252.35</x:v>
      </x:c>
    </x:row>
    <x:row r="11" ht="46" customHeight="1">
      <x:c r="A11" s="9" t="str">
        <x:v>2027 CERNEY CT, MILLSTADT, IL 62260</x:v>
      </x:c>
      <x:c r="B11" s="11" t="n">
        <x:v>147.91</x:v>
      </x:c>
      <x:c r="C11" s="11" t="n">
        <x:v>493.04</x:v>
      </x:c>
      <x:c r="D11" s="13" t="n">
        <x:f>ROUND(C11-B11,2)</x:f>
        <x:v>345.13</x:v>
      </x:c>
    </x:row>
    <x:row r="12" ht="46" customHeight="1">
      <x:c r="A12" s="14" t="str">
        <x:v>6808 FRANKEN STRASSE DR, MILLSTADT, IL 62260</x:v>
      </x:c>
      <x:c r="B12" s="15" t="n">
        <x:v>16.54</x:v>
      </x:c>
      <x:c r="C12" s="15" t="n">
        <x:v>55.13</x:v>
      </x:c>
      <x:c r="D12" s="13" t="n">
        <x:f>ROUND(C12-B12,2)</x:f>
        <x:v>38.59</x:v>
      </x:c>
    </x:row>
    <x:row r="13" ht="46" customHeight="1">
      <x:c r="A13" s="9" t="str">
        <x:v>6809 FRANKEN STRASSE DR, MILLSTADT, IL 62260</x:v>
      </x:c>
      <x:c r="B13" s="11" t="n">
        <x:v>63.59</x:v>
      </x:c>
      <x:c r="C13" s="11" t="n">
        <x:v>211.96</x:v>
      </x:c>
      <x:c r="D13" s="13" t="n">
        <x:f>ROUND(C13-B13,2)</x:f>
        <x:v>148.37</x:v>
      </x:c>
    </x:row>
    <x:row r="14" ht="46" customHeight="1">
      <x:c r="A14" s="14" t="str">
        <x:v>6812 FRANKEN STRASSE DR, MILLSTADT, IL 62260</x:v>
      </x:c>
      <x:c r="B14" s="15" t="n">
        <x:v>23.67</x:v>
      </x:c>
      <x:c r="C14" s="15" t="n">
        <x:v>78.92</x:v>
      </x:c>
      <x:c r="D14" s="13" t="n">
        <x:f>ROUND(C14-B14,2)</x:f>
        <x:v>55.25</x:v>
      </x:c>
    </x:row>
    <x:row r="15" ht="46" customHeight="1">
      <x:c r="A15" s="9" t="str">
        <x:v>6813 FRANKEN STRASSE DR, MILLSTADT, IL 62260</x:v>
      </x:c>
      <x:c r="B15" s="11" t="n">
        <x:v>101.4</x:v>
      </x:c>
      <x:c r="C15" s="11" t="n">
        <x:v>337.99</x:v>
      </x:c>
      <x:c r="D15" s="13" t="n">
        <x:f>ROUND(C15-B15,2)</x:f>
        <x:v>236.59</x:v>
      </x:c>
    </x:row>
    <x:row r="16" ht="46" customHeight="1">
      <x:c r="A16" s="14" t="str">
        <x:v>6816 FRANKEN STRASSE DR, MILLSTADT, IL 62260</x:v>
      </x:c>
      <x:c r="B16" s="15" t="n">
        <x:v>141.36</x:v>
      </x:c>
      <x:c r="C16" s="15" t="n">
        <x:v>471.21</x:v>
      </x:c>
      <x:c r="D16" s="13" t="n">
        <x:f>ROUND(C16-B16,2)</x:f>
        <x:v>329.85</x:v>
      </x:c>
    </x:row>
    <x:row r="17" ht="46" customHeight="1">
      <x:c r="A17" s="9" t="str">
        <x:v>6819 FRANKEN STRASSE DR, MILLSTADT, IL 62260</x:v>
      </x:c>
      <x:c r="B17" s="11" t="n">
        <x:v>119.98</x:v>
      </x:c>
      <x:c r="C17" s="11" t="n">
        <x:v>399.92</x:v>
      </x:c>
      <x:c r="D17" s="13" t="n">
        <x:f>ROUND(C17-B17,2)</x:f>
        <x:v>279.94</x:v>
      </x:c>
    </x:row>
    <x:row r="18" ht="46" customHeight="1">
      <x:c r="A18" s="14" t="str">
        <x:v>6820 FRANKEN STRASSE DR, MILLSTADT, IL 62260</x:v>
      </x:c>
      <x:c r="B18" s="15" t="n">
        <x:v>115.07</x:v>
      </x:c>
      <x:c r="C18" s="15" t="n">
        <x:v>383.56</x:v>
      </x:c>
      <x:c r="D18" s="13" t="n">
        <x:f>ROUND(C18-B18,2)</x:f>
        <x:v>268.49</x:v>
      </x:c>
    </x:row>
    <x:row r="19" ht="46" customHeight="1">
      <x:c r="A19" s="9" t="str">
        <x:v>6824 FRANKEN STRASSE DR, MILLSTADT, IL 62260</x:v>
      </x:c>
      <x:c r="B19" s="11" t="n">
        <x:v>131.04</x:v>
      </x:c>
      <x:c r="C19" s="11" t="n">
        <x:v>436.81</x:v>
      </x:c>
      <x:c r="D19" s="13" t="n">
        <x:f>ROUND(C19-B19,2)</x:f>
        <x:v>305.77</x:v>
      </x:c>
    </x:row>
    <x:row r="20" ht="46" customHeight="1">
      <x:c r="A20" s="14" t="str">
        <x:v>6825 FRANKEN STRASSE DR, MILLSTADT, IL 62260</x:v>
      </x:c>
      <x:c r="B20" s="15" t="n">
        <x:v>110.15</x:v>
      </x:c>
      <x:c r="C20" s="15" t="n">
        <x:v>367.16</x:v>
      </x:c>
      <x:c r="D20" s="13" t="n">
        <x:f>ROUND(C20-B20,2)</x:f>
        <x:v>257.01</x:v>
      </x:c>
    </x:row>
    <x:row r="21" ht="46" customHeight="1">
      <x:c r="A21" s="9" t="str">
        <x:v>6829 FRANKEN STRASSE DR, MILLSTADT, IL 62260</x:v>
      </x:c>
      <x:c r="B21" s="11" t="n">
        <x:v>115.28</x:v>
      </x:c>
      <x:c r="C21" s="11" t="n">
        <x:v>384.27</x:v>
      </x:c>
      <x:c r="D21" s="13" t="n">
        <x:f>ROUND(C21-B21,2)</x:f>
        <x:v>268.99</x:v>
      </x:c>
    </x:row>
    <x:row r="22" ht="46" customHeight="1">
      <x:c r="A22" s="14" t="str">
        <x:v>6832 FRANKEN STRASSE DR, MILLSTADT, IL 62260</x:v>
      </x:c>
      <x:c r="B22" s="15" t="n">
        <x:v>0</x:v>
      </x:c>
      <x:c r="C22" s="15" t="n">
        <x:v>0</x:v>
      </x:c>
      <x:c r="D22" s="13" t="n">
        <x:f>ROUND(C22-B22,2)</x:f>
        <x:v>0</x:v>
      </x:c>
    </x:row>
    <x:row r="23" ht="46" customHeight="1">
      <x:c r="A23" s="9" t="str">
        <x:v>6833 FRANKEN STRASSE DR, MILLSTADT, IL 62260</x:v>
      </x:c>
      <x:c r="B23" s="11" t="n">
        <x:v>100.69</x:v>
      </x:c>
      <x:c r="C23" s="11" t="n">
        <x:v>335.62</x:v>
      </x:c>
      <x:c r="D23" s="13" t="n">
        <x:f>ROUND(C23-B23,2)</x:f>
        <x:v>234.93</x:v>
      </x:c>
    </x:row>
    <x:row r="24" ht="46" customHeight="1">
      <x:c r="A24" s="14" t="str">
        <x:v>6837 FRANKEN STRASSE DR, MILLSTADT, IL 62260</x:v>
      </x:c>
      <x:c r="B24" s="15" t="n">
        <x:v>88.65</x:v>
      </x:c>
      <x:c r="C24" s="15" t="n">
        <x:v>295.51</x:v>
      </x:c>
      <x:c r="D24" s="13" t="n">
        <x:f>ROUND(C24-B24,2)</x:f>
        <x:v>206.86</x:v>
      </x:c>
    </x:row>
  </x:sheetData>
  <x:sheetProtection algorithmName="SHA-512" hashValue="awoHiHHhyCIGi7PNpVYSqIFt/vk3SRDOs/Lox0UVPppBExsEBoVdjNBseV2qhBaJLDnMiUygJgpvDM4LekELGg==" saltValue="O+gtF3CVrTuu4qt1vTeq1Q==" spinCount="100000" sheet="1" objects="1" scenarios="1"/>
  <x:pageMargins left="0.7" right="0.7" top="0.75" bottom="0.75" header="0.3" footer="0.3"/>
</x:worksheet>
</file>