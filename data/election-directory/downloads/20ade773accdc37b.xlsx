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73716243a4866" /></Relationships>
</file>

<file path=xl/workbook.xml><?xml version="1.0" encoding="utf-8"?>
<x:workbook xmlns:x="http://schemas.openxmlformats.org/spreadsheetml/2006/main">
  <x:workbookProtection workbookAlgorithmName="SHA-512" workbookHashValue="cDKcHM32K4Q3zdiw1F25lhHuCuABrR0UJp2oUx6AA22vF8lTHQakvSzBhcLjbJE9KFupNFw/x4yn1pXX+jWFWA==" workbookSaltValue="dcEtxik6eXdSJJLTYkDLTA==" workbookSpinCount="100000" lockStructure="1"/>
  <x:sheets>
    <x:sheet xmlns:r="http://schemas.openxmlformats.org/officeDocument/2006/relationships" name="Annual EMS taxes" sheetId="1" r:id="Rc0d864265b47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6ab26c3334b3e" /><Relationship Type="http://schemas.openxmlformats.org/officeDocument/2006/relationships/theme" Target="/xl/theme/theme1.xml" Id="R5fb964b52f5e4541" /><Relationship Type="http://schemas.openxmlformats.org/officeDocument/2006/relationships/sharedStrings" Target="/xl/sharedStrings.xml" Id="R7fde404883604d96" /><Relationship Type="http://schemas.openxmlformats.org/officeDocument/2006/relationships/worksheet" Target="/xl/worksheets/sheet1.xml" Id="Rc0d864265b47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15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37 DUNN DR, BELLEVILLE, IL 62223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38 DUNN DR, BELLEVILLE, IL 62223</x:v>
      </x:c>
      <x:c r="B8" s="15" t="n">
        <x:v>45.85</x:v>
      </x:c>
      <x:c r="C8" s="15" t="n">
        <x:v>152.82</x:v>
      </x:c>
      <x:c r="D8" s="13" t="n">
        <x:f>ROUND(C8-B8,2)</x:f>
        <x:v>106.97</x:v>
      </x:c>
    </x:row>
    <x:row r="9" ht="46" customHeight="1">
      <x:c r="A9" s="9" t="str">
        <x:v>1020 EILER RD, BELLEVILLE, IL 62223</x:v>
      </x:c>
      <x:c r="B9" s="11" t="n">
        <x:v>45.98</x:v>
      </x:c>
      <x:c r="C9" s="11" t="n">
        <x:v>153.28</x:v>
      </x:c>
      <x:c r="D9" s="13" t="n">
        <x:f>ROUND(C9-B9,2)</x:f>
        <x:v>107.3</x:v>
      </x:c>
    </x:row>
    <x:row r="10" ht="46" customHeight="1">
      <x:c r="A10" s="14" t="str">
        <x:v>1400 EILER RD, BELLEVILLE, IL 62223</x:v>
      </x:c>
      <x:c r="B10" s="15" t="n">
        <x:v>46.16</x:v>
      </x:c>
      <x:c r="C10" s="15" t="n">
        <x:v>153.87</x:v>
      </x:c>
      <x:c r="D10" s="13" t="n">
        <x:f>ROUND(C10-B10,2)</x:f>
        <x:v>107.71</x:v>
      </x:c>
    </x:row>
    <x:row r="11" ht="46" customHeight="1">
      <x:c r="A11" s="9" t="str">
        <x:v>141 HOWARD DR, BELLEVILLE, IL 62223
Parcel 07-15.0-405-022</x:v>
      </x:c>
      <x:c r="B11" s="11" t="n">
        <x:v>93.49</x:v>
      </x:c>
      <x:c r="C11" s="11" t="n">
        <x:v>311.64</x:v>
      </x:c>
      <x:c r="D11" s="13" t="n">
        <x:f>ROUND(C11-B11,2)</x:f>
        <x:v>218.15</x:v>
      </x:c>
    </x:row>
    <x:row r="12" ht="46" customHeight="1">
      <x:c r="A12" s="14" t="str">
        <x:v>141 HOWARD DR, BELLEVILLE, IL 62223
Parcel 07-15.0-405-023</x:v>
      </x:c>
      <x:c r="B12" s="15" t="n">
        <x:v>0.4</x:v>
      </x:c>
      <x:c r="C12" s="15" t="n">
        <x:v>1.34</x:v>
      </x:c>
      <x:c r="D12" s="13" t="n">
        <x:f>ROUND(C12-B12,2)</x:f>
        <x:v>0.94</x:v>
      </x:c>
    </x:row>
    <x:row r="13" ht="46" customHeight="1">
      <x:c r="A13" s="9" t="str">
        <x:v>201 HOWARD DR, BELLEVILLE, IL 62223</x:v>
      </x:c>
      <x:c r="B13" s="11" t="n">
        <x:v>44.85</x:v>
      </x:c>
      <x:c r="C13" s="11" t="n">
        <x:v>149.51</x:v>
      </x:c>
      <x:c r="D13" s="13" t="n">
        <x:f>ROUND(C13-B13,2)</x:f>
        <x:v>104.66</x:v>
      </x:c>
    </x:row>
    <x:row r="14" ht="46" customHeight="1">
      <x:c r="A14" s="14" t="str">
        <x:v>225 HOWARD DR, BELLEVILLE, IL 62223</x:v>
      </x:c>
      <x:c r="B14" s="15" t="n">
        <x:v>55.05</x:v>
      </x:c>
      <x:c r="C14" s="15" t="n">
        <x:v>183.5</x:v>
      </x:c>
      <x:c r="D14" s="13" t="n">
        <x:f>ROUND(C14-B14,2)</x:f>
        <x:v>128.45</x:v>
      </x:c>
    </x:row>
    <x:row r="15" ht="46" customHeight="1">
      <x:c r="A15" s="9" t="str">
        <x:v>626 REAVIS DR, BELLEVILLE, IL 62223</x:v>
      </x:c>
      <x:c r="B15" s="11" t="n">
        <x:v>36.89</x:v>
      </x:c>
      <x:c r="C15" s="11" t="n">
        <x:v>122.96</x:v>
      </x:c>
      <x:c r="D15" s="13" t="n">
        <x:f>ROUND(C15-B15,2)</x:f>
        <x:v>86.07</x:v>
      </x:c>
    </x:row>
    <x:row r="16" ht="46" customHeight="1">
      <x:c r="A16" s="14" t="str">
        <x:v>7033 TOWN HALL RD, BELLEVILLE, IL 62223</x:v>
      </x:c>
      <x:c r="B16" s="15" t="n">
        <x:v>51.15</x:v>
      </x:c>
      <x:c r="C16" s="15" t="n">
        <x:v>170.5</x:v>
      </x:c>
      <x:c r="D16" s="13" t="n">
        <x:f>ROUND(C16-B16,2)</x:f>
        <x:v>119.35</x:v>
      </x:c>
    </x:row>
    <x:row r="17" ht="46" customHeight="1">
      <x:c r="A17" s="9" t="str">
        <x:v>7061 TOWN HALL RD, BELLEVILLE, IL 62223</x:v>
      </x:c>
      <x:c r="B17" s="11" t="n">
        <x:v>9.84</x:v>
      </x:c>
      <x:c r="C17" s="11" t="n">
        <x:v>32.81</x:v>
      </x:c>
      <x:c r="D17" s="13" t="n">
        <x:f>ROUND(C17-B17,2)</x:f>
        <x:v>22.97</x:v>
      </x:c>
    </x:row>
    <x:row r="18" ht="46" customHeight="1">
      <x:c r="A18" s="14" t="str">
        <x:v>301 VILLA DR, BELLEVILLE, IL 62223</x:v>
      </x:c>
      <x:c r="B18" s="15" t="n">
        <x:v>61.37</x:v>
      </x:c>
      <x:c r="C18" s="15" t="n">
        <x:v>204.58</x:v>
      </x:c>
      <x:c r="D18" s="13" t="n">
        <x:f>ROUND(C18-B18,2)</x:f>
        <x:v>143.21</x:v>
      </x:c>
    </x:row>
    <x:row r="19" ht="46" customHeight="1">
      <x:c r="A19" s="9" t="str">
        <x:v>309 VILLA DR, BELLEVILLE, IL 62223</x:v>
      </x:c>
      <x:c r="B19" s="11" t="n">
        <x:v>58.23</x:v>
      </x:c>
      <x:c r="C19" s="11" t="n">
        <x:v>194.11</x:v>
      </x:c>
      <x:c r="D19" s="13" t="n">
        <x:f>ROUND(C19-B19,2)</x:f>
        <x:v>135.88</x:v>
      </x:c>
    </x:row>
    <x:row r="20" ht="46" customHeight="1">
      <x:c r="A20" s="14" t="str">
        <x:v>401 VILLA DR, BELLEVILLE, IL 62223</x:v>
      </x:c>
      <x:c r="B20" s="15" t="n">
        <x:v>23.12</x:v>
      </x:c>
      <x:c r="C20" s="15" t="n">
        <x:v>77.06</x:v>
      </x:c>
      <x:c r="D20" s="13" t="n">
        <x:f>ROUND(C20-B20,2)</x:f>
        <x:v>53.94</x:v>
      </x:c>
    </x:row>
    <x:row r="21" ht="46" customHeight="1">
      <x:c r="A21" s="9" t="str">
        <x:v>507 VILLA DR, BELLEVILLE, IL 62223</x:v>
      </x:c>
      <x:c r="B21" s="11" t="n">
        <x:v>76.36</x:v>
      </x:c>
      <x:c r="C21" s="11" t="n">
        <x:v>254.53</x:v>
      </x:c>
      <x:c r="D21" s="13" t="n">
        <x:f>ROUND(C21-B21,2)</x:f>
        <x:v>178.17</x:v>
      </x:c>
    </x:row>
    <x:row r="22" ht="46" customHeight="1">
      <x:c r="A22" s="14" t="str">
        <x:v>511 VILLA DR, BELLEVILLE, IL 62223</x:v>
      </x:c>
      <x:c r="B22" s="15" t="n">
        <x:v>0</x:v>
      </x:c>
      <x:c r="C22" s="15" t="n">
        <x:v>0</x:v>
      </x:c>
      <x:c r="D22" s="13" t="n">
        <x:f>ROUND(C22-B22,2)</x:f>
        <x:v>0</x:v>
      </x:c>
    </x:row>
    <x:row r="23" ht="46" customHeight="1">
      <x:c r="A23" s="9" t="str">
        <x:v>515 VILLA DR, BELLEVILLE, IL 62223</x:v>
      </x:c>
      <x:c r="B23" s="11" t="n">
        <x:v>175.75</x:v>
      </x:c>
      <x:c r="C23" s="11" t="n">
        <x:v>585.84</x:v>
      </x:c>
      <x:c r="D23" s="13" t="n">
        <x:f>ROUND(C23-B23,2)</x:f>
        <x:v>410.09</x:v>
      </x:c>
    </x:row>
    <x:row r="24" ht="46" customHeight="1">
      <x:c r="A24" s="14" t="str">
        <x:v>519 VILLA DR, BELLEVILLE, IL 62223</x:v>
      </x:c>
      <x:c r="B24" s="15" t="n">
        <x:v>132.15</x:v>
      </x:c>
      <x:c r="C24" s="15" t="n">
        <x:v>440.48</x:v>
      </x:c>
      <x:c r="D24" s="13" t="n">
        <x:f>ROUND(C24-B24,2)</x:f>
        <x:v>308.33</x:v>
      </x:c>
    </x:row>
    <x:row r="25" ht="46" customHeight="1">
      <x:c r="A25" s="9" t="str">
        <x:v>601 VILLA DR, BELLEVILLE, IL 62223</x:v>
      </x:c>
      <x:c r="B25" s="11" t="n">
        <x:v>46.12</x:v>
      </x:c>
      <x:c r="C25" s="11" t="n">
        <x:v>153.74</x:v>
      </x:c>
      <x:c r="D25" s="13" t="n">
        <x:f>ROUND(C25-B25,2)</x:f>
        <x:v>107.62</x:v>
      </x:c>
    </x:row>
    <x:row r="26" ht="46" customHeight="1">
      <x:c r="A26" s="14" t="str">
        <x:v>726 VILLA DR, BELLEVILLE, IL 62223</x:v>
      </x:c>
      <x:c r="B26" s="15" t="n">
        <x:v>73.36</x:v>
      </x:c>
      <x:c r="C26" s="15" t="n">
        <x:v>244.52</x:v>
      </x:c>
      <x:c r="D26" s="13" t="n">
        <x:f>ROUND(C26-B26,2)</x:f>
        <x:v>171.16</x:v>
      </x:c>
    </x:row>
    <x:row r="27" ht="46" customHeight="1">
      <x:c r="A27" s="9" t="str">
        <x:v>730 VILLA DR, BELLEVILLE, IL 62223</x:v>
      </x:c>
      <x:c r="B27" s="11" t="n">
        <x:v>43.76</x:v>
      </x:c>
      <x:c r="C27" s="11" t="n">
        <x:v>145.85</x:v>
      </x:c>
      <x:c r="D27" s="13" t="n">
        <x:f>ROUND(C27-B27,2)</x:f>
        <x:v>102.09</x:v>
      </x:c>
    </x:row>
    <x:row r="28" ht="46" customHeight="1">
      <x:c r="A28" s="14" t="str">
        <x:v>734 VILLA DR, BELLEVILLE, IL 62223</x:v>
      </x:c>
      <x:c r="B28" s="15" t="n">
        <x:v>81.14</x:v>
      </x:c>
      <x:c r="C28" s="15" t="n">
        <x:v>270.46</x:v>
      </x:c>
      <x:c r="D28" s="13" t="n">
        <x:f>ROUND(C28-B28,2)</x:f>
        <x:v>189.32</x:v>
      </x:c>
    </x:row>
  </x:sheetData>
  <x:sheetProtection algorithmName="SHA-512" hashValue="cDKcHM32K4Q3zdiw1F25lhHuCuABrR0UJp2oUx6AA22vF8lTHQakvSzBhcLjbJE9KFupNFw/x4yn1pXX+jWFWA==" saltValue="dcEtxik6eXdSJJLTYkDLTA==" spinCount="100000" sheet="1" objects="1" scenarios="1"/>
  <x:pageMargins left="0.7" right="0.7" top="0.75" bottom="0.75" header="0.3" footer="0.3"/>
</x:worksheet>
</file>