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8831c7b6d4bdb" /></Relationships>
</file>

<file path=xl/workbook.xml><?xml version="1.0" encoding="utf-8"?>
<x:workbook xmlns:x="http://schemas.openxmlformats.org/spreadsheetml/2006/main">
  <x:workbookProtection workbookAlgorithmName="SHA-512" workbookHashValue="NYwjC1qKFk/NVZhiI/fd0mIznDRVTLFmwgdQYUSw8oJBTkS+XpP9nV1U6X1NYufeuXMiCjCQyrLc2PipJxYNMA==" workbookSaltValue="Hb053yWRxbDmgkPDm36XvQ==" workbookSpinCount="100000" lockStructure="1"/>
  <x:sheets>
    <x:sheet xmlns:r="http://schemas.openxmlformats.org/officeDocument/2006/relationships" name="Annual EMS taxes" sheetId="1" r:id="R2ce0c139bd94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758ce52584beb" /><Relationship Type="http://schemas.openxmlformats.org/officeDocument/2006/relationships/theme" Target="/xl/theme/theme1.xml" Id="R0abd5377feff4804" /><Relationship Type="http://schemas.openxmlformats.org/officeDocument/2006/relationships/sharedStrings" Target="/xl/sharedStrings.xml" Id="R24df5a8165844b8d" /><Relationship Type="http://schemas.openxmlformats.org/officeDocument/2006/relationships/worksheet" Target="/xl/worksheets/sheet1.xml" Id="R2ce0c139bd9441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33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5066 ALGONQUIN FOREST, MILLSTADT, IL 62260</x:v>
      </x:c>
      <x:c r="B7" s="11" t="n">
        <x:v>118.01</x:v>
      </x:c>
      <x:c r="C7" s="11" t="n">
        <x:v>393.36</x:v>
      </x:c>
      <x:c r="D7" s="13" t="n">
        <x:f>ROUND(C7-B7,2)</x:f>
        <x:v>275.35</x:v>
      </x:c>
    </x:row>
    <x:row r="8" ht="46" customHeight="1">
      <x:c r="A8" s="14" t="str">
        <x:v>5118 ALGONQUIN FOREST, MILLSTADT, IL 62260</x:v>
      </x:c>
      <x:c r="B8" s="15" t="n">
        <x:v>71.55</x:v>
      </x:c>
      <x:c r="C8" s="15" t="n">
        <x:v>238.5</x:v>
      </x:c>
      <x:c r="D8" s="13" t="n">
        <x:f>ROUND(C8-B8,2)</x:f>
        <x:v>166.95</x:v>
      </x:c>
    </x:row>
    <x:row r="9" ht="46" customHeight="1">
      <x:c r="A9" s="9" t="str">
        <x:v>3211 BEARE LN, MILLSTADT, IL 62260</x:v>
      </x:c>
      <x:c r="B9" s="11" t="n">
        <x:v>73.66</x:v>
      </x:c>
      <x:c r="C9" s="11" t="n">
        <x:v>245.52</x:v>
      </x:c>
      <x:c r="D9" s="13" t="n">
        <x:f>ROUND(C9-B9,2)</x:f>
        <x:v>171.86</x:v>
      </x:c>
    </x:row>
    <x:row r="10" ht="46" customHeight="1">
      <x:c r="A10" s="14" t="str">
        <x:v>3221 BEARE LN, MILLSTADT, IL 62260</x:v>
      </x:c>
      <x:c r="B10" s="15" t="n">
        <x:v>66.76</x:v>
      </x:c>
      <x:c r="C10" s="15" t="n">
        <x:v>222.55</x:v>
      </x:c>
      <x:c r="D10" s="13" t="n">
        <x:f>ROUND(C10-B10,2)</x:f>
        <x:v>155.79</x:v>
      </x:c>
    </x:row>
    <x:row r="11" ht="46" customHeight="1">
      <x:c r="A11" s="9" t="str">
        <x:v>3231 BEARE LN, MILLSTADT, IL 62260</x:v>
      </x:c>
      <x:c r="B11" s="11" t="n">
        <x:v>66.36</x:v>
      </x:c>
      <x:c r="C11" s="11" t="n">
        <x:v>221.21</x:v>
      </x:c>
      <x:c r="D11" s="13" t="n">
        <x:f>ROUND(C11-B11,2)</x:f>
        <x:v>154.85</x:v>
      </x:c>
    </x:row>
    <x:row r="12" ht="46" customHeight="1">
      <x:c r="A12" s="14" t="str">
        <x:v>3241 BEARE LN, MILLSTADT, IL 62260</x:v>
      </x:c>
      <x:c r="B12" s="15" t="n">
        <x:v>63.75</x:v>
      </x:c>
      <x:c r="C12" s="15" t="n">
        <x:v>212.51</x:v>
      </x:c>
      <x:c r="D12" s="13" t="n">
        <x:f>ROUND(C12-B12,2)</x:f>
        <x:v>148.76</x:v>
      </x:c>
    </x:row>
    <x:row r="13" ht="46" customHeight="1">
      <x:c r="A13" s="9" t="str">
        <x:v>4939 BOHLEYSVILLE RD, MILLSTADT, IL 62260</x:v>
      </x:c>
      <x:c r="B13" s="11" t="n">
        <x:v>50.95</x:v>
      </x:c>
      <x:c r="C13" s="11" t="n">
        <x:v>169.82</x:v>
      </x:c>
      <x:c r="D13" s="13" t="n">
        <x:f>ROUND(C13-B13,2)</x:f>
        <x:v>118.87</x:v>
      </x:c>
    </x:row>
    <x:row r="14" ht="46" customHeight="1">
      <x:c r="A14" s="14" t="str">
        <x:v>5033 BOHLEYSVILLE RD, MILLSTADT, IL 62260</x:v>
      </x:c>
      <x:c r="B14" s="15" t="n">
        <x:v>206.37</x:v>
      </x:c>
      <x:c r="C14" s="15" t="n">
        <x:v>687.89</x:v>
      </x:c>
      <x:c r="D14" s="13" t="n">
        <x:f>ROUND(C14-B14,2)</x:f>
        <x:v>481.52</x:v>
      </x:c>
    </x:row>
    <x:row r="15" ht="46" customHeight="1">
      <x:c r="A15" s="9" t="str">
        <x:v>5051 BOHLEYSVILLE RD, MILLSTADT, IL 62260</x:v>
      </x:c>
      <x:c r="B15" s="11" t="n">
        <x:v>62.73</x:v>
      </x:c>
      <x:c r="C15" s="11" t="n">
        <x:v>209.1</x:v>
      </x:c>
      <x:c r="D15" s="13" t="n">
        <x:f>ROUND(C15-B15,2)</x:f>
        <x:v>146.37</x:v>
      </x:c>
    </x:row>
    <x:row r="16" ht="46" customHeight="1">
      <x:c r="A16" s="14" t="str">
        <x:v>5101 BOHLEYSVILLE RD, MILLSTADT, IL 62260
Parcel 12-33.0-200-003</x:v>
      </x:c>
      <x:c r="B16" s="15" t="n">
        <x:v>89.74</x:v>
      </x:c>
      <x:c r="C16" s="15" t="n">
        <x:v>299.15</x:v>
      </x:c>
      <x:c r="D16" s="13" t="n">
        <x:f>ROUND(C16-B16,2)</x:f>
        <x:v>209.41</x:v>
      </x:c>
    </x:row>
    <x:row r="17" ht="46" customHeight="1">
      <x:c r="A17" s="9" t="str">
        <x:v>5101 BOHLEYSVILLE RD, MILLSTADT, IL 62260
Parcel 12-33.0-200-006</x:v>
      </x:c>
      <x:c r="B17" s="11" t="n">
        <x:v>28.86</x:v>
      </x:c>
      <x:c r="C17" s="11" t="n">
        <x:v>96.21</x:v>
      </x:c>
      <x:c r="D17" s="13" t="n">
        <x:f>ROUND(C17-B17,2)</x:f>
        <x:v>67.35</x:v>
      </x:c>
    </x:row>
    <x:row r="18" ht="46" customHeight="1">
      <x:c r="A18" s="14" t="str">
        <x:v>5209 BOHLEYSVILLE RD, MILLSTADT, IL 62260</x:v>
      </x:c>
      <x:c r="B18" s="15" t="n">
        <x:v>8.35</x:v>
      </x:c>
      <x:c r="C18" s="15" t="n">
        <x:v>27.83</x:v>
      </x:c>
      <x:c r="D18" s="13" t="n">
        <x:f>ROUND(C18-B18,2)</x:f>
        <x:v>19.48</x:v>
      </x:c>
    </x:row>
    <x:row r="19" ht="46" customHeight="1">
      <x:c r="A19" s="9" t="str">
        <x:v>5325 BOHLEYSVILLE RD, MILLSTADT, IL 62260</x:v>
      </x:c>
      <x:c r="B19" s="11" t="n">
        <x:v>86.91</x:v>
      </x:c>
      <x:c r="C19" s="11" t="n">
        <x:v>289.69</x:v>
      </x:c>
      <x:c r="D19" s="13" t="n">
        <x:f>ROUND(C19-B19,2)</x:f>
        <x:v>202.78</x:v>
      </x:c>
    </x:row>
    <x:row r="20" ht="46" customHeight="1">
      <x:c r="A20" s="14" t="str">
        <x:v>2506 DORI LN, MILLSTADT, IL 62260</x:v>
      </x:c>
      <x:c r="B20" s="15" t="n">
        <x:v>95.37</x:v>
      </x:c>
      <x:c r="C20" s="15" t="n">
        <x:v>317.91</x:v>
      </x:c>
      <x:c r="D20" s="13" t="n">
        <x:f>ROUND(C20-B20,2)</x:f>
        <x:v>222.54</x:v>
      </x:c>
    </x:row>
    <x:row r="21" ht="46" customHeight="1">
      <x:c r="A21" s="9" t="str">
        <x:v>3501 DORI LN, MILLSTADT, IL 62260</x:v>
      </x:c>
      <x:c r="B21" s="11" t="n">
        <x:v>81.43</x:v>
      </x:c>
      <x:c r="C21" s="11" t="n">
        <x:v>271.42</x:v>
      </x:c>
      <x:c r="D21" s="13" t="n">
        <x:f>ROUND(C21-B21,2)</x:f>
        <x:v>189.99</x:v>
      </x:c>
    </x:row>
    <x:row r="22" ht="46" customHeight="1">
      <x:c r="A22" s="14" t="str">
        <x:v>3507 DORI LN, MILLSTADT, IL 62260</x:v>
      </x:c>
      <x:c r="B22" s="15" t="n">
        <x:v>89.21</x:v>
      </x:c>
      <x:c r="C22" s="15" t="n">
        <x:v>297.37</x:v>
      </x:c>
      <x:c r="D22" s="13" t="n">
        <x:f>ROUND(C22-B22,2)</x:f>
        <x:v>208.16</x:v>
      </x:c>
    </x:row>
    <x:row r="23" ht="46" customHeight="1">
      <x:c r="A23" s="9" t="str">
        <x:v>3517 DORI LN, MILLSTADT, IL 62260</x:v>
      </x:c>
      <x:c r="B23" s="11" t="n">
        <x:v>99.3</x:v>
      </x:c>
      <x:c r="C23" s="11" t="n">
        <x:v>331.01</x:v>
      </x:c>
      <x:c r="D23" s="13" t="n">
        <x:f>ROUND(C23-B23,2)</x:f>
        <x:v>231.71</x:v>
      </x:c>
    </x:row>
    <x:row r="24" ht="46" customHeight="1">
      <x:c r="A24" s="14" t="str">
        <x:v>3518 DORI LN, MILLSTADT, IL 62260</x:v>
      </x:c>
      <x:c r="B24" s="15" t="n">
        <x:v>90.86</x:v>
      </x:c>
      <x:c r="C24" s="15" t="n">
        <x:v>302.87</x:v>
      </x:c>
      <x:c r="D24" s="13" t="n">
        <x:f>ROUND(C24-B24,2)</x:f>
        <x:v>212.01</x:v>
      </x:c>
    </x:row>
    <x:row r="25" ht="46" customHeight="1">
      <x:c r="A25" s="9" t="str">
        <x:v>3530 DORI LN, MILLSTADT, IL 62260</x:v>
      </x:c>
      <x:c r="B25" s="11" t="n">
        <x:v>114.14</x:v>
      </x:c>
      <x:c r="C25" s="11" t="n">
        <x:v>380.47</x:v>
      </x:c>
      <x:c r="D25" s="13" t="n">
        <x:f>ROUND(C25-B25,2)</x:f>
        <x:v>266.33</x:v>
      </x:c>
    </x:row>
    <x:row r="26" ht="46" customHeight="1">
      <x:c r="A26" s="14" t="str">
        <x:v>3617 DORI LN, MILLSTADT, IL 62260</x:v>
      </x:c>
      <x:c r="B26" s="15" t="n">
        <x:v>72.52</x:v>
      </x:c>
      <x:c r="C26" s="15" t="n">
        <x:v>241.72</x:v>
      </x:c>
      <x:c r="D26" s="13" t="n">
        <x:f>ROUND(C26-B26,2)</x:f>
        <x:v>169.2</x:v>
      </x:c>
    </x:row>
    <x:row r="27" ht="46" customHeight="1">
      <x:c r="A27" s="9" t="str">
        <x:v>3640 DORI LN, MILLSTADT, IL 62260</x:v>
      </x:c>
      <x:c r="B27" s="11" t="n">
        <x:v>73.72</x:v>
      </x:c>
      <x:c r="C27" s="11" t="n">
        <x:v>245.75</x:v>
      </x:c>
      <x:c r="D27" s="13" t="n">
        <x:f>ROUND(C27-B27,2)</x:f>
        <x:v>172.03</x:v>
      </x:c>
    </x:row>
  </x:sheetData>
  <x:sheetProtection algorithmName="SHA-512" hashValue="NYwjC1qKFk/NVZhiI/fd0mIznDRVTLFmwgdQYUSw8oJBTkS+XpP9nV1U6X1NYufeuXMiCjCQyrLc2PipJxYNMA==" saltValue="Hb053yWRxbDmgkPDm36XvQ==" spinCount="100000" sheet="1" objects="1" scenarios="1"/>
  <x:pageMargins left="0.7" right="0.7" top="0.75" bottom="0.75" header="0.3" footer="0.3"/>
</x:worksheet>
</file>