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34f62177e458e" /></Relationships>
</file>

<file path=xl/workbook.xml><?xml version="1.0" encoding="utf-8"?>
<x:workbook xmlns:x="http://schemas.openxmlformats.org/spreadsheetml/2006/main">
  <x:workbookProtection workbookAlgorithmName="SHA-512" workbookHashValue="1ED3BknL4aVHOEeOteiS8rIn0NLZiRSeBx1NMkOrjOasUtOJSoDlwW5R1bqD7DlgnGj4XQpsV8oKoYoGWrZ34g==" workbookSaltValue="HhM95LuqwVGqbySXXGfNnw==" workbookSpinCount="100000" lockStructure="1"/>
  <x:sheets>
    <x:sheet xmlns:r="http://schemas.openxmlformats.org/officeDocument/2006/relationships" name="Annual EMS taxes" sheetId="1" r:id="R54ed76c24f37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7c65a47884547" /><Relationship Type="http://schemas.openxmlformats.org/officeDocument/2006/relationships/theme" Target="/xl/theme/theme1.xml" Id="Rfeb2e661c1814249" /><Relationship Type="http://schemas.openxmlformats.org/officeDocument/2006/relationships/sharedStrings" Target="/xl/sharedStrings.xml" Id="Rf611028f25b6435c" /><Relationship Type="http://schemas.openxmlformats.org/officeDocument/2006/relationships/worksheet" Target="/xl/worksheets/sheet1.xml" Id="R54ed76c24f37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BUFFWOOD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1251 E WASHINGTON ST, MILLSTADT, IL 62260</x:v>
      </x:c>
      <x:c r="B7" s="11" t="n">
        <x:v>155.66</x:v>
      </x:c>
      <x:c r="C7" s="11" t="n">
        <x:v>518.87</x:v>
      </x:c>
      <x:c r="D7" s="13" t="n">
        <x:f>ROUND(C7-B7,2)</x:f>
        <x:v>363.21</x:v>
      </x:c>
    </x:row>
    <x:row r="8" ht="46" customHeight="1">
      <x:c r="A8" s="14" t="str">
        <x:v>351 KRISTA LN, MILLSTADT, IL 62260</x:v>
      </x:c>
      <x:c r="B8" s="15" t="n">
        <x:v>119.53</x:v>
      </x:c>
      <x:c r="C8" s="15" t="n">
        <x:v>398.44</x:v>
      </x:c>
      <x:c r="D8" s="13" t="n">
        <x:f>ROUND(C8-B8,2)</x:f>
        <x:v>278.91</x:v>
      </x:c>
    </x:row>
    <x:row r="9" ht="46" customHeight="1">
      <x:c r="A9" s="9" t="str">
        <x:v>359 KRISTA LN, MILLSTADT, IL 62260</x:v>
      </x:c>
      <x:c r="B9" s="11" t="n">
        <x:v>36.23</x:v>
      </x:c>
      <x:c r="C9" s="11" t="n">
        <x:v>120.76</x:v>
      </x:c>
      <x:c r="D9" s="13" t="n">
        <x:f>ROUND(C9-B9,2)</x:f>
        <x:v>84.53</x:v>
      </x:c>
    </x:row>
    <x:row r="10" ht="46" customHeight="1">
      <x:c r="A10" s="14" t="str">
        <x:v>403 KRISTA LN, MILLSTADT, IL 62260</x:v>
      </x:c>
      <x:c r="B10" s="15" t="n">
        <x:v>103.3</x:v>
      </x:c>
      <x:c r="C10" s="15" t="n">
        <x:v>344.33</x:v>
      </x:c>
      <x:c r="D10" s="13" t="n">
        <x:f>ROUND(C10-B10,2)</x:f>
        <x:v>241.03</x:v>
      </x:c>
    </x:row>
    <x:row r="11" ht="46" customHeight="1">
      <x:c r="A11" s="9" t="str">
        <x:v>411 KRISTA LN, MILLSTADT, IL 62260</x:v>
      </x:c>
      <x:c r="B11" s="11" t="n">
        <x:v>105.72</x:v>
      </x:c>
      <x:c r="C11" s="11" t="n">
        <x:v>352.41</x:v>
      </x:c>
      <x:c r="D11" s="13" t="n">
        <x:f>ROUND(C11-B11,2)</x:f>
        <x:v>246.69</x:v>
      </x:c>
    </x:row>
    <x:row r="12" ht="46" customHeight="1">
      <x:c r="A12" s="14" t="str">
        <x:v>331 SHAD LN, MILLSTADT, IL 62260</x:v>
      </x:c>
      <x:c r="B12" s="15" t="n">
        <x:v>160.39</x:v>
      </x:c>
      <x:c r="C12" s="15" t="n">
        <x:v>534.62</x:v>
      </x:c>
      <x:c r="D12" s="13" t="n">
        <x:f>ROUND(C12-B12,2)</x:f>
        <x:v>374.23</x:v>
      </x:c>
    </x:row>
    <x:row r="13" ht="46" customHeight="1">
      <x:c r="A13" s="9" t="str">
        <x:v>335 SHAD LN, MILLSTADT, IL 62260</x:v>
      </x:c>
      <x:c r="B13" s="11" t="n">
        <x:v>137.86</x:v>
      </x:c>
      <x:c r="C13" s="11" t="n">
        <x:v>459.54</x:v>
      </x:c>
      <x:c r="D13" s="13" t="n">
        <x:f>ROUND(C13-B13,2)</x:f>
        <x:v>321.68</x:v>
      </x:c>
    </x:row>
    <x:row r="14" ht="46" customHeight="1">
      <x:c r="A14" s="14" t="str">
        <x:v>339 SHAD LN, MILLSTADT, IL 62260</x:v>
      </x:c>
      <x:c r="B14" s="15" t="n">
        <x:v>154.6</x:v>
      </x:c>
      <x:c r="C14" s="15" t="n">
        <x:v>515.33</x:v>
      </x:c>
      <x:c r="D14" s="13" t="n">
        <x:f>ROUND(C14-B14,2)</x:f>
        <x:v>360.73</x:v>
      </x:c>
    </x:row>
    <x:row r="15" ht="46" customHeight="1">
      <x:c r="A15" s="9" t="str">
        <x:v>342 SHAD LN, MILLSTADT, IL 62260</x:v>
      </x:c>
      <x:c r="B15" s="11" t="n">
        <x:v>126.16</x:v>
      </x:c>
      <x:c r="C15" s="11" t="n">
        <x:v>420.52</x:v>
      </x:c>
      <x:c r="D15" s="13" t="n">
        <x:f>ROUND(C15-B15,2)</x:f>
        <x:v>294.36</x:v>
      </x:c>
    </x:row>
    <x:row r="16" ht="46" customHeight="1">
      <x:c r="A16" s="14" t="str">
        <x:v>343 SHAD LN, MILLSTADT, IL 62260</x:v>
      </x:c>
      <x:c r="B16" s="15" t="n">
        <x:v>141.35</x:v>
      </x:c>
      <x:c r="C16" s="15" t="n">
        <x:v>471.17</x:v>
      </x:c>
      <x:c r="D16" s="13" t="n">
        <x:f>ROUND(C16-B16,2)</x:f>
        <x:v>329.82</x:v>
      </x:c>
    </x:row>
    <x:row r="17" ht="46" customHeight="1">
      <x:c r="A17" s="9" t="str">
        <x:v>346 SHAD LN, MILLSTADT, IL 62260</x:v>
      </x:c>
      <x:c r="B17" s="11" t="n">
        <x:v>136.01</x:v>
      </x:c>
      <x:c r="C17" s="11" t="n">
        <x:v>453.36</x:v>
      </x:c>
      <x:c r="D17" s="13" t="n">
        <x:f>ROUND(C17-B17,2)</x:f>
        <x:v>317.35</x:v>
      </x:c>
    </x:row>
    <x:row r="18" ht="46" customHeight="1">
      <x:c r="A18" s="14" t="str">
        <x:v>350 SHAD LN, MILLSTADT, IL 62260</x:v>
      </x:c>
      <x:c r="B18" s="15" t="n">
        <x:v>161.55</x:v>
      </x:c>
      <x:c r="C18" s="15" t="n">
        <x:v>538.49</x:v>
      </x:c>
      <x:c r="D18" s="13" t="n">
        <x:f>ROUND(C18-B18,2)</x:f>
        <x:v>376.94</x:v>
      </x:c>
    </x:row>
    <x:row r="19" ht="46" customHeight="1">
      <x:c r="A19" s="9" t="str">
        <x:v>353 SHAD LN, MILLSTADT, IL 62260</x:v>
      </x:c>
      <x:c r="B19" s="11" t="n">
        <x:v>162.92</x:v>
      </x:c>
      <x:c r="C19" s="11" t="n">
        <x:v>543.07</x:v>
      </x:c>
      <x:c r="D19" s="13" t="n">
        <x:f>ROUND(C19-B19,2)</x:f>
        <x:v>380.15</x:v>
      </x:c>
    </x:row>
    <x:row r="20" ht="46" customHeight="1">
      <x:c r="A20" s="14" t="str">
        <x:v>354 SHAD LN, MILLSTADT, IL 62260</x:v>
      </x:c>
      <x:c r="B20" s="15" t="n">
        <x:v>90.13</x:v>
      </x:c>
      <x:c r="C20" s="15" t="n">
        <x:v>300.43</x:v>
      </x:c>
      <x:c r="D20" s="13" t="n">
        <x:f>ROUND(C20-B20,2)</x:f>
        <x:v>210.3</x:v>
      </x:c>
    </x:row>
    <x:row r="21" ht="46" customHeight="1">
      <x:c r="A21" s="9" t="str">
        <x:v>357 SHAD LN, MILLSTADT, IL 62260</x:v>
      </x:c>
      <x:c r="B21" s="11" t="n">
        <x:v>150.78</x:v>
      </x:c>
      <x:c r="C21" s="11" t="n">
        <x:v>502.61</x:v>
      </x:c>
      <x:c r="D21" s="13" t="n">
        <x:f>ROUND(C21-B21,2)</x:f>
        <x:v>351.83</x:v>
      </x:c>
    </x:row>
    <x:row r="22" ht="46" customHeight="1">
      <x:c r="A22" s="14" t="str">
        <x:v>324 SPRING LAKE DR, MILLSTADT, IL 62260</x:v>
      </x:c>
      <x:c r="B22" s="15" t="n">
        <x:v>122.94</x:v>
      </x:c>
      <x:c r="C22" s="15" t="n">
        <x:v>409.79</x:v>
      </x:c>
      <x:c r="D22" s="13" t="n">
        <x:f>ROUND(C22-B22,2)</x:f>
        <x:v>286.85</x:v>
      </x:c>
    </x:row>
    <x:row r="23" ht="46" customHeight="1">
      <x:c r="A23" s="9" t="str">
        <x:v>301 SPRING LAKE RD, MILLSTADT, IL 62260</x:v>
      </x:c>
      <x:c r="B23" s="11" t="n">
        <x:v>123.86</x:v>
      </x:c>
      <x:c r="C23" s="11" t="n">
        <x:v>412.88</x:v>
      </x:c>
      <x:c r="D23" s="13" t="n">
        <x:f>ROUND(C23-B23,2)</x:f>
        <x:v>289.02</x:v>
      </x:c>
    </x:row>
    <x:row r="24" ht="46" customHeight="1">
      <x:c r="A24" s="14" t="str">
        <x:v>304 SPRING LAKE RD, MILLSTADT, IL 62260</x:v>
      </x:c>
      <x:c r="B24" s="15" t="n">
        <x:v>166.07</x:v>
      </x:c>
      <x:c r="C24" s="15" t="n">
        <x:v>553.56</x:v>
      </x:c>
      <x:c r="D24" s="13" t="n">
        <x:f>ROUND(C24-B24,2)</x:f>
        <x:v>387.49</x:v>
      </x:c>
    </x:row>
    <x:row r="25" ht="46" customHeight="1">
      <x:c r="A25" s="9" t="str">
        <x:v>310 SPRING LAKE RD, MILLSTADT, IL 62260</x:v>
      </x:c>
      <x:c r="B25" s="11" t="n">
        <x:v>116.49</x:v>
      </x:c>
      <x:c r="C25" s="11" t="n">
        <x:v>388.31</x:v>
      </x:c>
      <x:c r="D25" s="13" t="n">
        <x:f>ROUND(C25-B25,2)</x:f>
        <x:v>271.82</x:v>
      </x:c>
    </x:row>
    <x:row r="26" ht="46" customHeight="1">
      <x:c r="A26" s="14" t="str">
        <x:v>314 SPRING LAKE RD, MILLSTADT, IL 62260</x:v>
      </x:c>
      <x:c r="B26" s="15" t="n">
        <x:v>147.45</x:v>
      </x:c>
      <x:c r="C26" s="15" t="n">
        <x:v>491.49</x:v>
      </x:c>
      <x:c r="D26" s="13" t="n">
        <x:f>ROUND(C26-B26,2)</x:f>
        <x:v>344.04</x:v>
      </x:c>
    </x:row>
    <x:row r="27" ht="46" customHeight="1">
      <x:c r="A27" s="9" t="str">
        <x:v>334 SPRING LAKE RD, MILLSTADT, IL 62260</x:v>
      </x:c>
      <x:c r="B27" s="11" t="n">
        <x:v>137.25</x:v>
      </x:c>
      <x:c r="C27" s="11" t="n">
        <x:v>457.5</x:v>
      </x:c>
      <x:c r="D27" s="13" t="n">
        <x:f>ROUND(C27-B27,2)</x:f>
        <x:v>320.25</x:v>
      </x:c>
    </x:row>
    <x:row r="28" ht="46" customHeight="1">
      <x:c r="A28" s="14" t="str">
        <x:v>335 SPRING LAKE RD, MILLSTADT, IL 62260</x:v>
      </x:c>
      <x:c r="B28" s="15" t="n">
        <x:v>140.19</x:v>
      </x:c>
      <x:c r="C28" s="15" t="n">
        <x:v>467.29</x:v>
      </x:c>
      <x:c r="D28" s="13" t="n">
        <x:f>ROUND(C28-B28,2)</x:f>
        <x:v>327.1</x:v>
      </x:c>
    </x:row>
    <x:row r="29" ht="46" customHeight="1">
      <x:c r="A29" s="9" t="str">
        <x:v>341 SPRING LAKE RD, MILLSTADT, IL 62260</x:v>
      </x:c>
      <x:c r="B29" s="11" t="n">
        <x:v>11.2</x:v>
      </x:c>
      <x:c r="C29" s="11" t="n">
        <x:v>37.34</x:v>
      </x:c>
      <x:c r="D29" s="13" t="n">
        <x:f>ROUND(C29-B29,2)</x:f>
        <x:v>26.14</x:v>
      </x:c>
    </x:row>
    <x:row r="30" ht="46" customHeight="1">
      <x:c r="A30" s="14" t="str">
        <x:v>356 SPRING LAKE RD, MILLSTADT, IL 62260</x:v>
      </x:c>
      <x:c r="B30" s="15" t="n">
        <x:v>185.84</x:v>
      </x:c>
      <x:c r="C30" s="15" t="n">
        <x:v>619.48</x:v>
      </x:c>
      <x:c r="D30" s="13" t="n">
        <x:f>ROUND(C30-B30,2)</x:f>
        <x:v>433.64</x:v>
      </x:c>
    </x:row>
    <x:row r="31" ht="46" customHeight="1">
      <x:c r="A31" s="9" t="str">
        <x:v>357 SPRING LAKE RD, MILLSTADT, IL 62260</x:v>
      </x:c>
      <x:c r="B31" s="11" t="n">
        <x:v>135.53</x:v>
      </x:c>
      <x:c r="C31" s="11" t="n">
        <x:v>451.76</x:v>
      </x:c>
      <x:c r="D31" s="13" t="n">
        <x:f>ROUND(C31-B31,2)</x:f>
        <x:v>316.23</x:v>
      </x:c>
    </x:row>
    <x:row r="32" ht="46" customHeight="1">
      <x:c r="A32" s="14" t="str">
        <x:v>368 SPRING LAKE RD, MILLSTADT, IL 62260</x:v>
      </x:c>
      <x:c r="B32" s="15" t="n">
        <x:v>134.95</x:v>
      </x:c>
      <x:c r="C32" s="15" t="n">
        <x:v>449.82</x:v>
      </x:c>
      <x:c r="D32" s="13" t="n">
        <x:f>ROUND(C32-B32,2)</x:f>
        <x:v>314.87</x:v>
      </x:c>
    </x:row>
    <x:row r="33" ht="46" customHeight="1">
      <x:c r="A33" s="9" t="str">
        <x:v>371 SPRING LAKE RD, MILLSTADT, IL 62260</x:v>
      </x:c>
      <x:c r="B33" s="11" t="n">
        <x:v>139.61</x:v>
      </x:c>
      <x:c r="C33" s="11" t="n">
        <x:v>465.38</x:v>
      </x:c>
      <x:c r="D33" s="13" t="n">
        <x:f>ROUND(C33-B33,2)</x:f>
        <x:v>325.77</x:v>
      </x:c>
    </x:row>
    <x:row r="34" ht="46" customHeight="1">
      <x:c r="A34" s="14" t="str">
        <x:v>379 SPRING LAKE RD, MILLSTADT, IL 62260</x:v>
      </x:c>
      <x:c r="B34" s="15" t="n">
        <x:v>14.26</x:v>
      </x:c>
      <x:c r="C34" s="15" t="n">
        <x:v>47.52</x:v>
      </x:c>
      <x:c r="D34" s="13" t="n">
        <x:f>ROUND(C34-B34,2)</x:f>
        <x:v>33.26</x:v>
      </x:c>
    </x:row>
    <x:row r="35" ht="46" customHeight="1">
      <x:c r="A35" s="9" t="str">
        <x:v>387 SPRING LAKE RD, MILLSTADT, IL 62260</x:v>
      </x:c>
      <x:c r="B35" s="11" t="n">
        <x:v>3.5</x:v>
      </x:c>
      <x:c r="C35" s="11" t="n">
        <x:v>11.66</x:v>
      </x:c>
      <x:c r="D35" s="13" t="n">
        <x:f>ROUND(C35-B35,2)</x:f>
        <x:v>8.16</x:v>
      </x:c>
    </x:row>
    <x:row r="36" ht="46" customHeight="1">
      <x:c r="A36" s="14" t="str">
        <x:v>388 SPRING LAKE RD, MILLSTADT, IL 62260</x:v>
      </x:c>
      <x:c r="B36" s="15" t="n">
        <x:v>235.03</x:v>
      </x:c>
      <x:c r="C36" s="15" t="n">
        <x:v>783.42</x:v>
      </x:c>
      <x:c r="D36" s="13" t="n">
        <x:f>ROUND(C36-B36,2)</x:f>
        <x:v>548.39</x:v>
      </x:c>
    </x:row>
    <x:row r="37" ht="46" customHeight="1">
      <x:c r="A37" s="9" t="str">
        <x:v>400 SPRING LAKE RD, MILLSTADT, IL 62260</x:v>
      </x:c>
      <x:c r="B37" s="11" t="n">
        <x:v>160.03</x:v>
      </x:c>
      <x:c r="C37" s="11" t="n">
        <x:v>533.44</x:v>
      </x:c>
      <x:c r="D37" s="13" t="n">
        <x:f>ROUND(C37-B37,2)</x:f>
        <x:v>373.41</x:v>
      </x:c>
    </x:row>
    <x:row r="38" ht="46" customHeight="1">
      <x:c r="A38" s="14" t="str">
        <x:v>401 SPRING LAKE RD, MILLSTADT, IL 62260</x:v>
      </x:c>
      <x:c r="B38" s="15" t="n">
        <x:v>15.31</x:v>
      </x:c>
      <x:c r="C38" s="15" t="n">
        <x:v>51.02</x:v>
      </x:c>
      <x:c r="D38" s="13" t="n">
        <x:f>ROUND(C38-B38,2)</x:f>
        <x:v>35.71</x:v>
      </x:c>
    </x:row>
    <x:row r="39" ht="46" customHeight="1">
      <x:c r="A39" s="9" t="str">
        <x:v>408 SPRING LAKE RD, MILLSTADT, IL 62260</x:v>
      </x:c>
      <x:c r="B39" s="11" t="n">
        <x:v>152.33</x:v>
      </x:c>
      <x:c r="C39" s="11" t="n">
        <x:v>507.76</x:v>
      </x:c>
      <x:c r="D39" s="13" t="n">
        <x:f>ROUND(C39-B39,2)</x:f>
        <x:v>355.43</x:v>
      </x:c>
    </x:row>
    <x:row r="40" ht="46" customHeight="1">
      <x:c r="A40" s="14" t="str">
        <x:v>409 SPRING LAKE RD, MILLSTADT, IL 62260</x:v>
      </x:c>
      <x:c r="B40" s="15" t="n">
        <x:v>161.12</x:v>
      </x:c>
      <x:c r="C40" s="15" t="n">
        <x:v>537.06</x:v>
      </x:c>
      <x:c r="D40" s="13" t="n">
        <x:f>ROUND(C40-B40,2)</x:f>
        <x:v>375.94</x:v>
      </x:c>
    </x:row>
    <x:row r="41" ht="46" customHeight="1">
      <x:c r="A41" s="9" t="str">
        <x:v>1112 SUMMER CREEK LN, MILLSTADT, IL 62260</x:v>
      </x:c>
      <x:c r="B41" s="11" t="n">
        <x:v>140</x:v>
      </x:c>
      <x:c r="C41" s="11" t="n">
        <x:v>466.68</x:v>
      </x:c>
      <x:c r="D41" s="13" t="n">
        <x:f>ROUND(C41-B41,2)</x:f>
        <x:v>326.68</x:v>
      </x:c>
    </x:row>
    <x:row r="42" ht="46" customHeight="1">
      <x:c r="A42" s="14" t="str">
        <x:v>1115 SUMMER CREEK LN, MILLSTADT, IL 62260</x:v>
      </x:c>
      <x:c r="B42" s="15" t="n">
        <x:v>151.42</x:v>
      </x:c>
      <x:c r="C42" s="15" t="n">
        <x:v>504.74</x:v>
      </x:c>
      <x:c r="D42" s="13" t="n">
        <x:f>ROUND(C42-B42,2)</x:f>
        <x:v>353.32</x:v>
      </x:c>
    </x:row>
    <x:row r="43" ht="46" customHeight="1">
      <x:c r="A43" s="9" t="str">
        <x:v>1118 SUMMER CREEK LN, MILLSTADT, IL 62260</x:v>
      </x:c>
      <x:c r="B43" s="11" t="n">
        <x:v>121.61</x:v>
      </x:c>
      <x:c r="C43" s="11" t="n">
        <x:v>405.37</x:v>
      </x:c>
      <x:c r="D43" s="13" t="n">
        <x:f>ROUND(C43-B43,2)</x:f>
        <x:v>283.76</x:v>
      </x:c>
    </x:row>
    <x:row r="44" ht="46" customHeight="1">
      <x:c r="A44" s="14" t="str">
        <x:v>1123 SUMMER CREEK LN, MILLSTADT, IL 62260</x:v>
      </x:c>
      <x:c r="B44" s="15" t="n">
        <x:v>0</x:v>
      </x:c>
      <x:c r="C44" s="15" t="n">
        <x:v>0</x:v>
      </x:c>
      <x:c r="D44" s="13" t="n">
        <x:f>ROUND(C44-B44,2)</x:f>
        <x:v>0</x:v>
      </x:c>
    </x:row>
    <x:row r="45" ht="46" customHeight="1">
      <x:c r="A45" s="9" t="str">
        <x:v>1126 SUMMER CREEK LN, MILLSTADT, IL 62260</x:v>
      </x:c>
      <x:c r="B45" s="11" t="n">
        <x:v>130.06</x:v>
      </x:c>
      <x:c r="C45" s="11" t="n">
        <x:v>433.52</x:v>
      </x:c>
      <x:c r="D45" s="13" t="n">
        <x:f>ROUND(C45-B45,2)</x:f>
        <x:v>303.46</x:v>
      </x:c>
    </x:row>
    <x:row r="46" ht="46" customHeight="1">
      <x:c r="A46" s="14" t="str">
        <x:v>1129 SUMMER CREEK LN, MILLSTADT, IL 62260</x:v>
      </x:c>
      <x:c r="B46" s="15" t="n">
        <x:v>131.07</x:v>
      </x:c>
      <x:c r="C46" s="15" t="n">
        <x:v>436.9</x:v>
      </x:c>
      <x:c r="D46" s="13" t="n">
        <x:f>ROUND(C46-B46,2)</x:f>
        <x:v>305.83</x:v>
      </x:c>
    </x:row>
    <x:row r="47" ht="46" customHeight="1">
      <x:c r="A47" s="9" t="str">
        <x:v>1132 SUMMER CREEK LN, MILLSTADT, IL 62260</x:v>
      </x:c>
      <x:c r="B47" s="11" t="n">
        <x:v>162.28</x:v>
      </x:c>
      <x:c r="C47" s="11" t="n">
        <x:v>540.92</x:v>
      </x:c>
      <x:c r="D47" s="13" t="n">
        <x:f>ROUND(C47-B47,2)</x:f>
        <x:v>378.64</x:v>
      </x:c>
    </x:row>
    <x:row r="48" ht="46" customHeight="1">
      <x:c r="A48" s="14" t="str">
        <x:v>1135 SUMMER CREEK LN, MILLSTADT, IL 62260</x:v>
      </x:c>
      <x:c r="B48" s="15" t="n">
        <x:v>145.94</x:v>
      </x:c>
      <x:c r="C48" s="15" t="n">
        <x:v>486.47</x:v>
      </x:c>
      <x:c r="D48" s="13" t="n">
        <x:f>ROUND(C48-B48,2)</x:f>
        <x:v>340.53</x:v>
      </x:c>
    </x:row>
  </x:sheetData>
  <x:sheetProtection algorithmName="SHA-512" hashValue="1ED3BknL4aVHOEeOteiS8rIn0NLZiRSeBx1NMkOrjOasUtOJSoDlwW5R1bqD7DlgnGj4XQpsV8oKoYoGWrZ34g==" saltValue="HhM95LuqwVGqbySXXGfNnw==" spinCount="100000" sheet="1" objects="1" scenarios="1"/>
  <x:pageMargins left="0.7" right="0.7" top="0.75" bottom="0.75" header="0.3" footer="0.3"/>
</x:worksheet>
</file>