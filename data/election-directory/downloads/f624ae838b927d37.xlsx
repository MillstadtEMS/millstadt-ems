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49d9002f348a6" /></Relationships>
</file>

<file path=xl/workbook.xml><?xml version="1.0" encoding="utf-8"?>
<x:workbook xmlns:x="http://schemas.openxmlformats.org/spreadsheetml/2006/main">
  <x:workbookProtection workbookAlgorithmName="SHA-512" workbookHashValue="3oVv9btiwf8lOdeW7FkF+gSrzK2MNbz+enEAq76ojEHIgIexIbDk82rbLysbBjetZfy8+jOpYNMQ//jOZ+HXng==" workbookSaltValue="SYxVNh625Ofh6n/bpuQPHw==" workbookSpinCount="100000" lockStructure="1"/>
  <x:sheets>
    <x:sheet xmlns:r="http://schemas.openxmlformats.org/officeDocument/2006/relationships" name="Annual EMS taxes" sheetId="1" r:id="R9e8b4e0cbd664e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cca091c4a7487e" /><Relationship Type="http://schemas.openxmlformats.org/officeDocument/2006/relationships/theme" Target="/xl/theme/theme1.xml" Id="R54a99546fc554c0d" /><Relationship Type="http://schemas.openxmlformats.org/officeDocument/2006/relationships/sharedStrings" Target="/xl/sharedStrings.xml" Id="Rf7dc1dd6f9484bf8" /><Relationship Type="http://schemas.openxmlformats.org/officeDocument/2006/relationships/worksheet" Target="/xl/worksheets/sheet1.xml" Id="R9e8b4e0cbd664e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STOOKEY TWP SEC 26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7331 CONCORDIA CHURCH RD, BELLEVILLE, IL 62221</x:v>
      </x:c>
      <x:c r="B7" s="11" t="n">
        <x:v>28.25</x:v>
      </x:c>
      <x:c r="C7" s="11" t="n">
        <x:v>94.17</x:v>
      </x:c>
      <x:c r="D7" s="13" t="n">
        <x:f>ROUND(C7-B7,2)</x:f>
        <x:v>65.92</x:v>
      </x:c>
    </x:row>
    <x:row r="8" ht="46" customHeight="1">
      <x:c r="A8" s="14" t="str">
        <x:v>7001 CONCORDIA RD, BELLEVILLE, IL 62223</x:v>
      </x:c>
      <x:c r="B8" s="15" t="n">
        <x:v>36.27</x:v>
      </x:c>
      <x:c r="C8" s="15" t="n">
        <x:v>120.9</x:v>
      </x:c>
      <x:c r="D8" s="13" t="n">
        <x:f>ROUND(C8-B8,2)</x:f>
        <x:v>84.63</x:v>
      </x:c>
    </x:row>
    <x:row r="9" ht="46" customHeight="1">
      <x:c r="A9" s="9" t="str">
        <x:v>7409 CONCORDIA RD, BELLEVILLE, IL 62223</x:v>
      </x:c>
      <x:c r="B9" s="11" t="n">
        <x:v>59.41</x:v>
      </x:c>
      <x:c r="C9" s="11" t="n">
        <x:v>198.03</x:v>
      </x:c>
      <x:c r="D9" s="13" t="n">
        <x:f>ROUND(C9-B9,2)</x:f>
        <x:v>138.62</x:v>
      </x:c>
    </x:row>
    <x:row r="10" ht="46" customHeight="1">
      <x:c r="A10" s="14" t="str">
        <x:v>7601 CONCORDIA RD, BELLEVILLE, IL 62223
Parcel 07-26.0-300-002</x:v>
      </x:c>
      <x:c r="B10" s="15" t="n">
        <x:v>11.56</x:v>
      </x:c>
      <x:c r="C10" s="15" t="n">
        <x:v>38.54</x:v>
      </x:c>
      <x:c r="D10" s="13" t="n">
        <x:f>ROUND(C10-B10,2)</x:f>
        <x:v>26.98</x:v>
      </x:c>
    </x:row>
    <x:row r="11" ht="46" customHeight="1">
      <x:c r="A11" s="9" t="str">
        <x:v>7601 CONCORDIA RD, BELLEVILLE, IL 62223
Parcel 07-26.0-300-005</x:v>
      </x:c>
      <x:c r="B11" s="11" t="n">
        <x:v>77.94</x:v>
      </x:c>
      <x:c r="C11" s="11" t="n">
        <x:v>259.81</x:v>
      </x:c>
      <x:c r="D11" s="13" t="n">
        <x:f>ROUND(C11-B11,2)</x:f>
        <x:v>181.87</x:v>
      </x:c>
    </x:row>
    <x:row r="12" ht="46" customHeight="1">
      <x:c r="A12" s="14" t="str">
        <x:v>7991 CONCORDIA RD, BELLEVILLE, IL 62221</x:v>
      </x:c>
      <x:c r="B12" s="15" t="n">
        <x:v>15.67</x:v>
      </x:c>
      <x:c r="C12" s="15" t="n">
        <x:v>52.24</x:v>
      </x:c>
      <x:c r="D12" s="13" t="n">
        <x:f>ROUND(C12-B12,2)</x:f>
        <x:v>36.57</x:v>
      </x:c>
    </x:row>
    <x:row r="13" ht="46" customHeight="1">
      <x:c r="A13" s="9" t="str">
        <x:v>3401 SALUKI WOODS RD, BELLEVILLE, IL 62223</x:v>
      </x:c>
      <x:c r="B13" s="11" t="n">
        <x:v>114.42</x:v>
      </x:c>
      <x:c r="C13" s="11" t="n">
        <x:v>381.38</x:v>
      </x:c>
      <x:c r="D13" s="13" t="n">
        <x:f>ROUND(C13-B13,2)</x:f>
        <x:v>266.96</x:v>
      </x:c>
    </x:row>
    <x:row r="14" ht="46" customHeight="1">
      <x:c r="A14" s="14" t="str">
        <x:v>3415 SALUKI WOODS RD, BELLEVILLE, IL 62223</x:v>
      </x:c>
      <x:c r="B14" s="15" t="n">
        <x:v>124.71</x:v>
      </x:c>
      <x:c r="C14" s="15" t="n">
        <x:v>415.7</x:v>
      </x:c>
      <x:c r="D14" s="13" t="n">
        <x:f>ROUND(C14-B14,2)</x:f>
        <x:v>290.99</x:v>
      </x:c>
    </x:row>
    <x:row r="15" ht="46" customHeight="1">
      <x:c r="A15" s="9" t="str">
        <x:v>3429 SALUKI WOODS RD, BELLEVILLE, IL 62223</x:v>
      </x:c>
      <x:c r="B15" s="11" t="n">
        <x:v>94.65</x:v>
      </x:c>
      <x:c r="C15" s="11" t="n">
        <x:v>315.49</x:v>
      </x:c>
      <x:c r="D15" s="13" t="n">
        <x:f>ROUND(C15-B15,2)</x:f>
        <x:v>220.84</x:v>
      </x:c>
    </x:row>
    <x:row r="16" ht="46" customHeight="1">
      <x:c r="A16" s="14" t="str">
        <x:v>3390 WILDVIEW WAY, BELLEVILLE, IL 62223</x:v>
      </x:c>
      <x:c r="B16" s="15" t="n">
        <x:v>59.33</x:v>
      </x:c>
      <x:c r="C16" s="15" t="n">
        <x:v>197.76</x:v>
      </x:c>
      <x:c r="D16" s="13" t="n">
        <x:f>ROUND(C16-B16,2)</x:f>
        <x:v>138.43</x:v>
      </x:c>
    </x:row>
    <x:row r="17" ht="46" customHeight="1">
      <x:c r="A17" s="9" t="str">
        <x:v>3400 WILDVIEW WAY, BELLEVILLE, IL 62223
Parcel 07-26.0-400-020</x:v>
      </x:c>
      <x:c r="B17" s="11" t="n">
        <x:v>3.42</x:v>
      </x:c>
      <x:c r="C17" s="11" t="n">
        <x:v>11.41</x:v>
      </x:c>
      <x:c r="D17" s="13" t="n">
        <x:f>ROUND(C17-B17,2)</x:f>
        <x:v>7.99</x:v>
      </x:c>
    </x:row>
    <x:row r="18" ht="46" customHeight="1">
      <x:c r="A18" s="14" t="str">
        <x:v>3400 WILDVIEW WAY, BELLEVILLE, IL 62223
Parcel 07-26.0-400-021</x:v>
      </x:c>
      <x:c r="B18" s="15" t="n">
        <x:v>90.21</x:v>
      </x:c>
      <x:c r="C18" s="15" t="n">
        <x:v>300.71</x:v>
      </x:c>
      <x:c r="D18" s="13" t="n">
        <x:f>ROUND(C18-B18,2)</x:f>
        <x:v>210.5</x:v>
      </x:c>
    </x:row>
    <x:row r="19" ht="46" customHeight="1">
      <x:c r="A19" s="9" t="str">
        <x:v>3430 WILDVIEW WAY, BELLEVILLE, IL 62223</x:v>
      </x:c>
      <x:c r="B19" s="11" t="n">
        <x:v>78.71</x:v>
      </x:c>
      <x:c r="C19" s="11" t="n">
        <x:v>262.38</x:v>
      </x:c>
      <x:c r="D19" s="13" t="n">
        <x:f>ROUND(C19-B19,2)</x:f>
        <x:v>183.67</x:v>
      </x:c>
    </x:row>
    <x:row r="20" ht="46" customHeight="1">
      <x:c r="A20" s="14" t="str">
        <x:v>3440 WILDVIEW WAY, BELLEVILLE, IL 62223</x:v>
      </x:c>
      <x:c r="B20" s="15" t="n">
        <x:v>160.31</x:v>
      </x:c>
      <x:c r="C20" s="15" t="n">
        <x:v>534.38</x:v>
      </x:c>
      <x:c r="D20" s="13" t="n">
        <x:f>ROUND(C20-B20,2)</x:f>
        <x:v>374.07</x:v>
      </x:c>
    </x:row>
  </x:sheetData>
  <x:sheetProtection algorithmName="SHA-512" hashValue="3oVv9btiwf8lOdeW7FkF+gSrzK2MNbz+enEAq76ojEHIgIexIbDk82rbLysbBjetZfy8+jOpYNMQ//jOZ+HXng==" saltValue="SYxVNh625Ofh6n/bpuQPHw==" spinCount="100000" sheet="1" objects="1" scenarios="1"/>
  <x:pageMargins left="0.7" right="0.7" top="0.75" bottom="0.75" header="0.3" footer="0.3"/>
</x:worksheet>
</file>