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087d6a3d54032" /></Relationships>
</file>

<file path=xl/workbook.xml><?xml version="1.0" encoding="utf-8"?>
<x:workbook xmlns:x="http://schemas.openxmlformats.org/spreadsheetml/2006/main">
  <x:workbookProtection workbookAlgorithmName="SHA-512" workbookHashValue="Xp9Gr7kJGMbXG/Rr2M93q6PcbR0xC18B4OuG/ksP9hfSa1UY2q6C3mNwquqradE9INUoXJXG5zXjmZSmVpz9rQ==" workbookSaltValue="rMZPCsa9RPo28FJhN0jXfg==" workbookSpinCount="100000" lockStructure="1"/>
  <x:sheets>
    <x:sheet xmlns:r="http://schemas.openxmlformats.org/officeDocument/2006/relationships" name="Annual EMS taxes" sheetId="1" r:id="Rc508c220ed8840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7a6cf52da42b2" /><Relationship Type="http://schemas.openxmlformats.org/officeDocument/2006/relationships/theme" Target="/xl/theme/theme1.xml" Id="Rd6c2aa6b198440fb" /><Relationship Type="http://schemas.openxmlformats.org/officeDocument/2006/relationships/sharedStrings" Target="/xl/sharedStrings.xml" Id="Rcb5e932fdf874997" /><Relationship Type="http://schemas.openxmlformats.org/officeDocument/2006/relationships/worksheet" Target="/xl/worksheets/sheet1.xml" Id="Rc508c220ed8840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28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7650 CLIFF DR, BELLEVILLE, IL 62223
Parcel 07-28.0-400-027</x:v>
      </x:c>
      <x:c r="B7" s="11" t="n">
        <x:v>65.72</x:v>
      </x:c>
      <x:c r="C7" s="11" t="n">
        <x:v>219.07</x:v>
      </x:c>
      <x:c r="D7" s="13" t="n">
        <x:f>ROUND(C7-B7,2)</x:f>
        <x:v>153.35</x:v>
      </x:c>
    </x:row>
    <x:row r="8" ht="46" customHeight="1">
      <x:c r="A8" s="14" t="str">
        <x:v>7650 CLIFF DR, BELLEVILLE, IL 62223
Parcel 07-28.0-400-028</x:v>
      </x:c>
      <x:c r="B8" s="15" t="n">
        <x:v>16.15</x:v>
      </x:c>
      <x:c r="C8" s="15" t="n">
        <x:v>53.83</x:v>
      </x:c>
      <x:c r="D8" s="13" t="n">
        <x:f>ROUND(C8-B8,2)</x:f>
        <x:v>37.68</x:v>
      </x:c>
    </x:row>
    <x:row r="9" ht="46" customHeight="1">
      <x:c r="A9" s="9" t="str">
        <x:v>7708 CLIFF DR, BELLEVILLE, IL 62223</x:v>
      </x:c>
      <x:c r="B9" s="11" t="n">
        <x:v>56.09</x:v>
      </x:c>
      <x:c r="C9" s="11" t="n">
        <x:v>186.97</x:v>
      </x:c>
      <x:c r="D9" s="13" t="n">
        <x:f>ROUND(C9-B9,2)</x:f>
        <x:v>130.88</x:v>
      </x:c>
    </x:row>
    <x:row r="10" ht="46" customHeight="1">
      <x:c r="A10" s="14" t="str">
        <x:v>7760 CLIFF DR, BELLEVILLE, IL 62223
Parcel 07-28.0-400-004</x:v>
      </x:c>
      <x:c r="B10" s="15" t="n">
        <x:v>0.19</x:v>
      </x:c>
      <x:c r="C10" s="15" t="n">
        <x:v>0.63</x:v>
      </x:c>
      <x:c r="D10" s="13" t="n">
        <x:f>ROUND(C10-B10,2)</x:f>
        <x:v>0.44</x:v>
      </x:c>
    </x:row>
    <x:row r="11" ht="46" customHeight="1">
      <x:c r="A11" s="9" t="str">
        <x:v>7760 CLIFF DR, BELLEVILLE, IL 62223
Parcel 07-28.0-400-013</x:v>
      </x:c>
      <x:c r="B11" s="11" t="n">
        <x:v>0</x:v>
      </x:c>
      <x:c r="C11" s="11" t="n">
        <x:v>0</x:v>
      </x:c>
      <x:c r="D11" s="13" t="n">
        <x:f>ROUND(C11-B11,2)</x:f>
        <x:v>0</x:v>
      </x:c>
    </x:row>
    <x:row r="12" ht="46" customHeight="1">
      <x:c r="A12" s="14" t="str">
        <x:v>7760 CLIFF DR, BELLEVILLE, IL 62223
Parcel 07-28.0-400-019</x:v>
      </x:c>
      <x:c r="B12" s="15" t="n">
        <x:v>64.14</x:v>
      </x:c>
      <x:c r="C12" s="15" t="n">
        <x:v>213.82</x:v>
      </x:c>
      <x:c r="D12" s="13" t="n">
        <x:f>ROUND(C12-B12,2)</x:f>
        <x:v>149.68</x:v>
      </x:c>
    </x:row>
    <x:row r="13" ht="46" customHeight="1">
      <x:c r="A13" s="9" t="str">
        <x:v>3236 CLOVERLEAF SCHOOL RD, BELLEVILLE, IL 62223</x:v>
      </x:c>
      <x:c r="B13" s="11" t="n">
        <x:v>65.99</x:v>
      </x:c>
      <x:c r="C13" s="11" t="n">
        <x:v>219.96</x:v>
      </x:c>
      <x:c r="D13" s="13" t="n">
        <x:f>ROUND(C13-B13,2)</x:f>
        <x:v>153.97</x:v>
      </x:c>
    </x:row>
    <x:row r="14" ht="46" customHeight="1">
      <x:c r="A14" s="14" t="str">
        <x:v>3248 CLOVERLEAF SCHOOL RD, BELLEVILLE, IL 62223</x:v>
      </x:c>
      <x:c r="B14" s="15" t="n">
        <x:v>92.42</x:v>
      </x:c>
      <x:c r="C14" s="15" t="n">
        <x:v>308.06</x:v>
      </x:c>
      <x:c r="D14" s="13" t="n">
        <x:f>ROUND(C14-B14,2)</x:f>
        <x:v>215.64</x:v>
      </x:c>
    </x:row>
    <x:row r="15" ht="46" customHeight="1">
      <x:c r="A15" s="9" t="str">
        <x:v>9301 CONCORDIA CHURCH RD, BELLEVILLE, IL 62223</x:v>
      </x:c>
      <x:c r="B15" s="11" t="n">
        <x:v>39.71</x:v>
      </x:c>
      <x:c r="C15" s="11" t="n">
        <x:v>132.38</x:v>
      </x:c>
      <x:c r="D15" s="13" t="n">
        <x:f>ROUND(C15-B15,2)</x:f>
        <x:v>92.67</x:v>
      </x:c>
    </x:row>
    <x:row r="16" ht="46" customHeight="1">
      <x:c r="A16" s="14" t="str">
        <x:v>9695 CONCORDIA CHURCH RD, MILLSTADT, IL 62260</x:v>
      </x:c>
      <x:c r="B16" s="15" t="n">
        <x:v>105.06</x:v>
      </x:c>
      <x:c r="C16" s="15" t="n">
        <x:v>350.21</x:v>
      </x:c>
      <x:c r="D16" s="13" t="n">
        <x:f>ROUND(C16-B16,2)</x:f>
        <x:v>245.15</x:v>
      </x:c>
    </x:row>
    <x:row r="17" ht="46" customHeight="1">
      <x:c r="A17" s="9" t="str">
        <x:v>9713 CONCORDIA CHURCH RD, MILLSTADT, IL 62260</x:v>
      </x:c>
      <x:c r="B17" s="11" t="n">
        <x:v>114.26</x:v>
      </x:c>
      <x:c r="C17" s="11" t="n">
        <x:v>380.86</x:v>
      </x:c>
      <x:c r="D17" s="13" t="n">
        <x:f>ROUND(C17-B17,2)</x:f>
        <x:v>266.6</x:v>
      </x:c>
    </x:row>
    <x:row r="18" ht="46" customHeight="1">
      <x:c r="A18" s="14" t="str">
        <x:v>9229 CONCORDIA RD, BELLEVILLE, IL 62223</x:v>
      </x:c>
      <x:c r="B18" s="15" t="n">
        <x:v>58.07</x:v>
      </x:c>
      <x:c r="C18" s="15" t="n">
        <x:v>193.57</x:v>
      </x:c>
      <x:c r="D18" s="13" t="n">
        <x:f>ROUND(C18-B18,2)</x:f>
        <x:v>135.5</x:v>
      </x:c>
    </x:row>
    <x:row r="19" ht="46" customHeight="1">
      <x:c r="A19" s="9" t="str">
        <x:v>3302 FOREST HILL SCH RD, MILLSTADT, IL 62260</x:v>
      </x:c>
      <x:c r="B19" s="11" t="n">
        <x:v>6.63</x:v>
      </x:c>
      <x:c r="C19" s="11" t="n">
        <x:v>22.11</x:v>
      </x:c>
      <x:c r="D19" s="13" t="n">
        <x:f>ROUND(C19-B19,2)</x:f>
        <x:v>15.48</x:v>
      </x:c>
    </x:row>
    <x:row r="20" ht="46" customHeight="1">
      <x:c r="A20" s="14" t="str">
        <x:v>3322 FOREST HILL SCHOOL, MILLSTADT, IL 62260
Parcel 07-28.0-300-005</x:v>
      </x:c>
      <x:c r="B20" s="15" t="n">
        <x:v>28.76</x:v>
      </x:c>
      <x:c r="C20" s="15" t="n">
        <x:v>95.86</x:v>
      </x:c>
      <x:c r="D20" s="13" t="n">
        <x:f>ROUND(C20-B20,2)</x:f>
        <x:v>67.1</x:v>
      </x:c>
    </x:row>
    <x:row r="21" ht="46" customHeight="1">
      <x:c r="A21" s="9" t="str">
        <x:v>3322 FOREST HILL SCHOOL, MILLSTADT, IL 62260
Parcel 07-28.0-300-011</x:v>
      </x:c>
      <x:c r="B21" s="11" t="n">
        <x:v>12.54</x:v>
      </x:c>
      <x:c r="C21" s="11" t="n">
        <x:v>41.81</x:v>
      </x:c>
      <x:c r="D21" s="13" t="n">
        <x:f>ROUND(C21-B21,2)</x:f>
        <x:v>29.27</x:v>
      </x:c>
    </x:row>
    <x:row r="22" ht="46" customHeight="1">
      <x:c r="A22" s="14" t="str">
        <x:v>7600 STATE RTE 163, BELLEVILLE, IL 62223</x:v>
      </x:c>
      <x:c r="B22" s="15" t="n">
        <x:v>0</x:v>
      </x:c>
      <x:c r="C22" s="15" t="n">
        <x:v>0</x:v>
      </x:c>
      <x:c r="D22" s="13" t="n">
        <x:f>ROUND(C22-B22,2)</x:f>
        <x:v>0</x:v>
      </x:c>
    </x:row>
    <x:row r="23" ht="46" customHeight="1">
      <x:c r="A23" s="9" t="str">
        <x:v>7804 STATE RTE 163, MILLSTADT, IL 62260</x:v>
      </x:c>
      <x:c r="B23" s="11" t="n">
        <x:v>69.32</x:v>
      </x:c>
      <x:c r="C23" s="11" t="n">
        <x:v>231.08</x:v>
      </x:c>
      <x:c r="D23" s="13" t="n">
        <x:f>ROUND(C23-B23,2)</x:f>
        <x:v>161.76</x:v>
      </x:c>
    </x:row>
    <x:row r="24" ht="46" customHeight="1">
      <x:c r="A24" s="14" t="str">
        <x:v>7900 STATE RTE 163, BELLEVILLE, IL 62223</x:v>
      </x:c>
      <x:c r="B24" s="15" t="n">
        <x:v>48.73</x:v>
      </x:c>
      <x:c r="C24" s="15" t="n">
        <x:v>162.43</x:v>
      </x:c>
      <x:c r="D24" s="13" t="n">
        <x:f>ROUND(C24-B24,2)</x:f>
        <x:v>113.7</x:v>
      </x:c>
    </x:row>
    <x:row r="25" ht="46" customHeight="1">
      <x:c r="A25" s="9" t="str">
        <x:v>7963 STATE RTE 163, MILLSTADT, IL 62260</x:v>
      </x:c>
      <x:c r="B25" s="11" t="n">
        <x:v>57.66</x:v>
      </x:c>
      <x:c r="C25" s="11" t="n">
        <x:v>192.21</x:v>
      </x:c>
      <x:c r="D25" s="13" t="n">
        <x:f>ROUND(C25-B25,2)</x:f>
        <x:v>134.55</x:v>
      </x:c>
    </x:row>
  </x:sheetData>
  <x:sheetProtection algorithmName="SHA-512" hashValue="Xp9Gr7kJGMbXG/Rr2M93q6PcbR0xC18B4OuG/ksP9hfSa1UY2q6C3mNwquqradE9INUoXJXG5zXjmZSmVpz9rQ==" saltValue="rMZPCsa9RPo28FJhN0jXfg==" spinCount="100000" sheet="1" objects="1" scenarios="1"/>
  <x:pageMargins left="0.7" right="0.7" top="0.75" bottom="0.75" header="0.3" footer="0.3"/>
</x:worksheet>
</file>