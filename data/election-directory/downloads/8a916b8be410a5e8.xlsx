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144e4fccc41a1" /></Relationships>
</file>

<file path=xl/workbook.xml><?xml version="1.0" encoding="utf-8"?>
<x:workbook xmlns:x="http://schemas.openxmlformats.org/spreadsheetml/2006/main">
  <x:workbookProtection workbookAlgorithmName="SHA-512" workbookHashValue="9r4YMKBNOqpLjQmnKZoxGT2vVMFiI5y0Rnw7rtKpl/ZPTEs2E4xgt3IUpKLS3nS6h93m+pCYdLhhITCmWHdsPQ==" workbookSaltValue="tfWUJlYRAlwx8ag1/ISV3g==" workbookSpinCount="100000" lockStructure="1"/>
  <x:sheets>
    <x:sheet xmlns:r="http://schemas.openxmlformats.org/officeDocument/2006/relationships" name="Annual EMS taxes" sheetId="1" r:id="R9519342e99d7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cc832593e4182" /><Relationship Type="http://schemas.openxmlformats.org/officeDocument/2006/relationships/theme" Target="/xl/theme/theme1.xml" Id="R0f56a3cef52240d0" /><Relationship Type="http://schemas.openxmlformats.org/officeDocument/2006/relationships/sharedStrings" Target="/xl/sharedStrings.xml" Id="Re207a7d56e244c73" /><Relationship Type="http://schemas.openxmlformats.org/officeDocument/2006/relationships/worksheet" Target="/xl/worksheets/sheet1.xml" Id="R9519342e99d7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19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8030 GRAVOT HILL LN, MILLSTADT, IL 62260</x:v>
      </x:c>
      <x:c r="B7" s="11" t="n">
        <x:v>110.73</x:v>
      </x:c>
      <x:c r="C7" s="11" t="n">
        <x:v>369.11</x:v>
      </x:c>
      <x:c r="D7" s="13" t="n">
        <x:f>ROUND(C7-B7,2)</x:f>
        <x:v>258.38</x:v>
      </x:c>
    </x:row>
    <x:row r="8" ht="46" customHeight="1">
      <x:c r="A8" s="14" t="str">
        <x:v>8065 GRAVOT HILL LN, MILLSTADT, IL 62260</x:v>
      </x:c>
      <x:c r="B8" s="15" t="n">
        <x:v>38.43</x:v>
      </x:c>
      <x:c r="C8" s="15" t="n">
        <x:v>128.11</x:v>
      </x:c>
      <x:c r="D8" s="13" t="n">
        <x:f>ROUND(C8-B8,2)</x:f>
        <x:v>89.68</x:v>
      </x:c>
    </x:row>
    <x:row r="9" ht="46" customHeight="1">
      <x:c r="A9" s="9" t="str">
        <x:v>2401 IMBS STATION RD, MILLSTADT, IL 62260</x:v>
      </x:c>
      <x:c r="B9" s="11" t="n">
        <x:v>7.28</x:v>
      </x:c>
      <x:c r="C9" s="11" t="n">
        <x:v>24.26</x:v>
      </x:c>
      <x:c r="D9" s="13" t="n">
        <x:f>ROUND(C9-B9,2)</x:f>
        <x:v>16.98</x:v>
      </x:c>
    </x:row>
    <x:row r="10" ht="46" customHeight="1">
      <x:c r="A10" s="14" t="str">
        <x:v>2447 IMBS STATION RD, MILLSTADT, IL 62260</x:v>
      </x:c>
      <x:c r="B10" s="15" t="n">
        <x:v>35.42</x:v>
      </x:c>
      <x:c r="C10" s="15" t="n">
        <x:v>118.07</x:v>
      </x:c>
      <x:c r="D10" s="13" t="n">
        <x:f>ROUND(C10-B10,2)</x:f>
        <x:v>82.65</x:v>
      </x:c>
    </x:row>
    <x:row r="11" ht="46" customHeight="1">
      <x:c r="A11" s="9" t="str">
        <x:v>2462 IMBS STATION RD, MILLSTADT, IL 62260</x:v>
      </x:c>
      <x:c r="B11" s="11" t="n">
        <x:v>88.32</x:v>
      </x:c>
      <x:c r="C11" s="11" t="n">
        <x:v>294.39</x:v>
      </x:c>
      <x:c r="D11" s="13" t="n">
        <x:f>ROUND(C11-B11,2)</x:f>
        <x:v>206.07</x:v>
      </x:c>
    </x:row>
    <x:row r="12" ht="46" customHeight="1">
      <x:c r="A12" s="14" t="str">
        <x:v>2519 IMBS STATION RD, MILLSTADT, IL 62260</x:v>
      </x:c>
      <x:c r="B12" s="15" t="n">
        <x:v>83.96</x:v>
      </x:c>
      <x:c r="C12" s="15" t="n">
        <x:v>279.88</x:v>
      </x:c>
      <x:c r="D12" s="13" t="n">
        <x:f>ROUND(C12-B12,2)</x:f>
        <x:v>195.92</x:v>
      </x:c>
    </x:row>
    <x:row r="13" ht="46" customHeight="1">
      <x:c r="A13" s="9" t="str">
        <x:v>2525 IMBS STATION RD, MILLSTADT, IL 62260
Parcel 07-19.0-100-013</x:v>
      </x:c>
      <x:c r="B13" s="11" t="n">
        <x:v>0</x:v>
      </x:c>
      <x:c r="C13" s="11" t="n">
        <x:v>0</x:v>
      </x:c>
      <x:c r="D13" s="13" t="n">
        <x:f>ROUND(C13-B13,2)</x:f>
        <x:v>0</x:v>
      </x:c>
    </x:row>
    <x:row r="14" ht="46" customHeight="1">
      <x:c r="A14" s="14" t="str">
        <x:v>2525 IMBS STATION RD, MILLSTADT, IL 62260
Parcel 07-19.0-100-014</x:v>
      </x:c>
      <x:c r="B14" s="15" t="n">
        <x:v>2.6</x:v>
      </x:c>
      <x:c r="C14" s="15" t="n">
        <x:v>8.66</x:v>
      </x:c>
      <x:c r="D14" s="13" t="n">
        <x:f>ROUND(C14-B14,2)</x:f>
        <x:v>6.06</x:v>
      </x:c>
    </x:row>
    <x:row r="15" ht="46" customHeight="1">
      <x:c r="A15" s="9" t="str">
        <x:v>2615 IMBS STATION RD, MILLSTADT, IL 62260</x:v>
      </x:c>
      <x:c r="B15" s="11" t="n">
        <x:v>59.86</x:v>
      </x:c>
      <x:c r="C15" s="11" t="n">
        <x:v>199.52</x:v>
      </x:c>
      <x:c r="D15" s="13" t="n">
        <x:f>ROUND(C15-B15,2)</x:f>
        <x:v>139.66</x:v>
      </x:c>
    </x:row>
    <x:row r="16" ht="46" customHeight="1">
      <x:c r="A16" s="14" t="str">
        <x:v>2718 IMBS STATION RD, MILLSTADT, IL 62260</x:v>
      </x:c>
      <x:c r="B16" s="15" t="n">
        <x:v>100.44</x:v>
      </x:c>
      <x:c r="C16" s="15" t="n">
        <x:v>334.82</x:v>
      </x:c>
      <x:c r="D16" s="13" t="n">
        <x:f>ROUND(C16-B16,2)</x:f>
        <x:v>234.38</x:v>
      </x:c>
    </x:row>
    <x:row r="17" ht="46" customHeight="1">
      <x:c r="A17" s="9" t="str">
        <x:v>2719 IMBS STATION RD, MILLSTADT, IL 62260</x:v>
      </x:c>
      <x:c r="B17" s="11" t="n">
        <x:v>148.84</x:v>
      </x:c>
      <x:c r="C17" s="11" t="n">
        <x:v>496.14</x:v>
      </x:c>
      <x:c r="D17" s="13" t="n">
        <x:f>ROUND(C17-B17,2)</x:f>
        <x:v>347.3</x:v>
      </x:c>
    </x:row>
    <x:row r="18" ht="46" customHeight="1">
      <x:c r="A18" s="14" t="str">
        <x:v>8101 LUNCEFORD LN, MILLSTADT, IL 62260</x:v>
      </x:c>
      <x:c r="B18" s="15" t="n">
        <x:v>8.62</x:v>
      </x:c>
      <x:c r="C18" s="15" t="n">
        <x:v>28.74</x:v>
      </x:c>
      <x:c r="D18" s="13" t="n">
        <x:f>ROUND(C18-B18,2)</x:f>
        <x:v>20.12</x:v>
      </x:c>
    </x:row>
    <x:row r="19" ht="46" customHeight="1">
      <x:c r="A19" s="9" t="str">
        <x:v>8124 LUNCEFORD LN, MILLSTADT, IL 62260</x:v>
      </x:c>
      <x:c r="B19" s="11" t="n">
        <x:v>37.9</x:v>
      </x:c>
      <x:c r="C19" s="11" t="n">
        <x:v>126.34</x:v>
      </x:c>
      <x:c r="D19" s="13" t="n">
        <x:f>ROUND(C19-B19,2)</x:f>
        <x:v>88.44</x:v>
      </x:c>
    </x:row>
    <x:row r="20" ht="46" customHeight="1">
      <x:c r="A20" s="14" t="str">
        <x:v>8143 LUNCEFORD LN, MILLSTADT, IL 62260</x:v>
      </x:c>
      <x:c r="B20" s="15" t="n">
        <x:v>64.84</x:v>
      </x:c>
      <x:c r="C20" s="15" t="n">
        <x:v>216.15</x:v>
      </x:c>
      <x:c r="D20" s="13" t="n">
        <x:f>ROUND(C20-B20,2)</x:f>
        <x:v>151.31</x:v>
      </x:c>
    </x:row>
    <x:row r="21" ht="46" customHeight="1">
      <x:c r="A21" s="9" t="str">
        <x:v>2481 OTTEN RD, MILLSTADT, IL 62260</x:v>
      </x:c>
      <x:c r="B21" s="11" t="n">
        <x:v>98.6</x:v>
      </x:c>
      <x:c r="C21" s="11" t="n">
        <x:v>328.66</x:v>
      </x:c>
      <x:c r="D21" s="13" t="n">
        <x:f>ROUND(C21-B21,2)</x:f>
        <x:v>230.06</x:v>
      </x:c>
    </x:row>
    <x:row r="22" ht="46" customHeight="1">
      <x:c r="A22" s="14" t="str">
        <x:v>8126 STAGE COACH TR, MILLSTADT, IL 62260</x:v>
      </x:c>
      <x:c r="B22" s="15" t="n">
        <x:v>69.15</x:v>
      </x:c>
      <x:c r="C22" s="15" t="n">
        <x:v>230.51</x:v>
      </x:c>
      <x:c r="D22" s="13" t="n">
        <x:f>ROUND(C22-B22,2)</x:f>
        <x:v>161.36</x:v>
      </x:c>
    </x:row>
    <x:row r="23" ht="46" customHeight="1">
      <x:c r="A23" s="9" t="str">
        <x:v>8136 STAGE COACH TR, MILLSTADT, IL 62260</x:v>
      </x:c>
      <x:c r="B23" s="11" t="n">
        <x:v>58.77</x:v>
      </x:c>
      <x:c r="C23" s="11" t="n">
        <x:v>195.91</x:v>
      </x:c>
      <x:c r="D23" s="13" t="n">
        <x:f>ROUND(C23-B23,2)</x:f>
        <x:v>137.14</x:v>
      </x:c>
    </x:row>
    <x:row r="24" ht="46" customHeight="1">
      <x:c r="A24" s="14" t="str">
        <x:v>8163 STAGE COACH TR, MILLSTADT, IL 62260</x:v>
      </x:c>
      <x:c r="B24" s="15" t="n">
        <x:v>25.48</x:v>
      </x:c>
      <x:c r="C24" s="15" t="n">
        <x:v>84.95</x:v>
      </x:c>
      <x:c r="D24" s="13" t="n">
        <x:f>ROUND(C24-B24,2)</x:f>
        <x:v>59.47</x:v>
      </x:c>
    </x:row>
  </x:sheetData>
  <x:sheetProtection algorithmName="SHA-512" hashValue="9r4YMKBNOqpLjQmnKZoxGT2vVMFiI5y0Rnw7rtKpl/ZPTEs2E4xgt3IUpKLS3nS6h93m+pCYdLhhITCmWHdsPQ==" saltValue="tfWUJlYRAlwx8ag1/ISV3g==" spinCount="100000" sheet="1" objects="1" scenarios="1"/>
  <x:pageMargins left="0.7" right="0.7" top="0.75" bottom="0.75" header="0.3" footer="0.3"/>
</x:worksheet>
</file>