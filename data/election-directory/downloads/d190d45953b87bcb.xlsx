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370b0b0c5439b" /></Relationships>
</file>

<file path=xl/workbook.xml><?xml version="1.0" encoding="utf-8"?>
<x:workbook xmlns:x="http://schemas.openxmlformats.org/spreadsheetml/2006/main">
  <x:workbookProtection workbookAlgorithmName="SHA-512" workbookHashValue="aizeuJy0lVXZUQ0Y0tefGxlY+5aLyORnnwWW8Ckacoh0TNVIWILPubmIs1fiSj/sNo3JfsM77lGwVsarUgGrMg==" workbookSaltValue="R9FQciyh06alT2a2zUrMNA==" workbookSpinCount="100000" lockStructure="1"/>
  <x:sheets>
    <x:sheet xmlns:r="http://schemas.openxmlformats.org/officeDocument/2006/relationships" name="Annual EMS taxes" sheetId="1" r:id="Rc616a7efe00f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ace3eb2534d03" /><Relationship Type="http://schemas.openxmlformats.org/officeDocument/2006/relationships/theme" Target="/xl/theme/theme1.xml" Id="R49c0046780c645f7" /><Relationship Type="http://schemas.openxmlformats.org/officeDocument/2006/relationships/sharedStrings" Target="/xl/sharedStrings.xml" Id="Rcd960f4e047e44a2" /><Relationship Type="http://schemas.openxmlformats.org/officeDocument/2006/relationships/worksheet" Target="/xl/worksheets/sheet1.xml" Id="Rc616a7efe00f44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4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4625 BOHLEYSVILLE RD, WATERLOO, IL 62298</x:v>
      </x:c>
      <x:c r="B7" s="11" t="n">
        <x:v>0</x:v>
      </x:c>
      <x:c r="C7" s="11" t="n">
        <x:v>2.93</x:v>
      </x:c>
      <x:c r="D7" s="13" t="n">
        <x:f>ROUND(C7-B7,2)</x:f>
        <x:v>2.93</x:v>
      </x:c>
    </x:row>
    <x:row r="8" ht="46" customHeight="1">
      <x:c r="A8" s="14" t="str">
        <x:v>4717 BOHLEYSVILLE RD, WATERLOO, IL 62298</x:v>
      </x:c>
      <x:c r="B8" s="15" t="n">
        <x:v>0</x:v>
      </x:c>
      <x:c r="C8" s="15" t="n">
        <x:v>144.73</x:v>
      </x:c>
      <x:c r="D8" s="13" t="n">
        <x:f>ROUND(C8-B8,2)</x:f>
        <x:v>144.73</x:v>
      </x:c>
    </x:row>
    <x:row r="9" ht="46" customHeight="1">
      <x:c r="A9" s="9" t="str">
        <x:v>4723 BOHLEYSVILLE RD, WATERLOO, IL 62298</x:v>
      </x:c>
      <x:c r="B9" s="11" t="n">
        <x:v>0</x:v>
      </x:c>
      <x:c r="C9" s="11" t="n">
        <x:v>307.37</x:v>
      </x:c>
      <x:c r="D9" s="13" t="n">
        <x:f>ROUND(C9-B9,2)</x:f>
        <x:v>307.37</x:v>
      </x:c>
    </x:row>
    <x:row r="10" ht="46" customHeight="1">
      <x:c r="A10" s="14" t="str">
        <x:v>4765 BOHLEYSVILLE RD, WATERLOO, IL 62298</x:v>
      </x:c>
      <x:c r="B10" s="15" t="n">
        <x:v>0</x:v>
      </x:c>
      <x:c r="C10" s="15" t="n">
        <x:v>86.58</x:v>
      </x:c>
      <x:c r="D10" s="13" t="n">
        <x:f>ROUND(C10-B10,2)</x:f>
        <x:v>86.58</x:v>
      </x:c>
    </x:row>
    <x:row r="11" ht="46" customHeight="1">
      <x:c r="A11" s="9" t="str">
        <x:v>8800 GILMORE LAKE RD, COLUMBIA, IL 62236
Parcel 16-04.0-100-001</x:v>
      </x:c>
      <x:c r="B11" s="11" t="n">
        <x:v>0</x:v>
      </x:c>
      <x:c r="C11" s="11" t="n">
        <x:v>27.64</x:v>
      </x:c>
      <x:c r="D11" s="13" t="n">
        <x:f>ROUND(C11-B11,2)</x:f>
        <x:v>27.64</x:v>
      </x:c>
    </x:row>
    <x:row r="12" ht="46" customHeight="1">
      <x:c r="A12" s="14" t="str">
        <x:v>6837 HANKAMMER LN, MILLSTADT, IL 62260</x:v>
      </x:c>
      <x:c r="B12" s="15" t="n">
        <x:v>27.17</x:v>
      </x:c>
      <x:c r="C12" s="15" t="n">
        <x:v>90.58</x:v>
      </x:c>
      <x:c r="D12" s="13" t="n">
        <x:f>ROUND(C12-B12,2)</x:f>
        <x:v>63.41</x:v>
      </x:c>
    </x:row>
    <x:row r="13" ht="46" customHeight="1">
      <x:c r="A13" s="9" t="str">
        <x:v>6878 HANKAMMER LN, MILLSTADT, IL 62260</x:v>
      </x:c>
      <x:c r="B13" s="11" t="n">
        <x:v>51.49</x:v>
      </x:c>
      <x:c r="C13" s="11" t="n">
        <x:v>171.64</x:v>
      </x:c>
      <x:c r="D13" s="13" t="n">
        <x:f>ROUND(C13-B13,2)</x:f>
        <x:v>120.15</x:v>
      </x:c>
    </x:row>
    <x:row r="14" ht="46" customHeight="1">
      <x:c r="A14" s="14" t="str">
        <x:v>6879 HANKAMMER LN, MILLSTADT, IL 62260
Parcel 12-04.0-300-010</x:v>
      </x:c>
      <x:c r="B14" s="15" t="n">
        <x:v>25.07</x:v>
      </x:c>
      <x:c r="C14" s="15" t="n">
        <x:v>83.56</x:v>
      </x:c>
      <x:c r="D14" s="13" t="n">
        <x:f>ROUND(C14-B14,2)</x:f>
        <x:v>58.49</x:v>
      </x:c>
    </x:row>
    <x:row r="15" ht="46" customHeight="1">
      <x:c r="A15" s="9" t="str">
        <x:v>6879 HANKAMMER LN, MILLSTADT, IL 62260
Parcel 12-04.0-300-011</x:v>
      </x:c>
      <x:c r="B15" s="11" t="n">
        <x:v>47.59</x:v>
      </x:c>
      <x:c r="C15" s="11" t="n">
        <x:v>158.62</x:v>
      </x:c>
      <x:c r="D15" s="13" t="n">
        <x:f>ROUND(C15-B15,2)</x:f>
        <x:v>111.03</x:v>
      </x:c>
    </x:row>
    <x:row r="16" ht="46" customHeight="1">
      <x:c r="A16" s="14" t="str">
        <x:v>3209 KEIM RD, WATERLOO, IL 62298</x:v>
      </x:c>
      <x:c r="B16" s="15" t="n">
        <x:v>0</x:v>
      </x:c>
      <x:c r="C16" s="15" t="n">
        <x:v>41.49</x:v>
      </x:c>
      <x:c r="D16" s="13" t="n">
        <x:f>ROUND(C16-B16,2)</x:f>
        <x:v>41.49</x:v>
      </x:c>
    </x:row>
    <x:row r="17" ht="46" customHeight="1">
      <x:c r="A17" s="9" t="str">
        <x:v>3265 KEIM RD, WATERLOO, IL 62298</x:v>
      </x:c>
      <x:c r="B17" s="11" t="n">
        <x:v>0</x:v>
      </x:c>
      <x:c r="C17" s="11" t="n">
        <x:v>96.54</x:v>
      </x:c>
      <x:c r="D17" s="13" t="n">
        <x:f>ROUND(C17-B17,2)</x:f>
        <x:v>96.54</x:v>
      </x:c>
    </x:row>
    <x:row r="18" ht="46" customHeight="1">
      <x:c r="A18" s="14" t="str">
        <x:v>3301 KEIM RD, WATERLOO, IL 62298</x:v>
      </x:c>
      <x:c r="B18" s="15" t="n">
        <x:v>0</x:v>
      </x:c>
      <x:c r="C18" s="15" t="n">
        <x:v>33.05</x:v>
      </x:c>
      <x:c r="D18" s="13" t="n">
        <x:f>ROUND(C18-B18,2)</x:f>
        <x:v>33.05</x:v>
      </x:c>
    </x:row>
    <x:row r="19" ht="46" customHeight="1">
      <x:c r="A19" s="9" t="str">
        <x:v>3330 KEIM RD, WATERLOO, IL 62298</x:v>
      </x:c>
      <x:c r="B19" s="11" t="n">
        <x:v>0</x:v>
      </x:c>
      <x:c r="C19" s="11" t="n">
        <x:v>204.89</x:v>
      </x:c>
      <x:c r="D19" s="13" t="n">
        <x:f>ROUND(C19-B19,2)</x:f>
        <x:v>204.89</x:v>
      </x:c>
    </x:row>
    <x:row r="20" ht="46" customHeight="1">
      <x:c r="A20" s="14" t="str">
        <x:v>3355 KEIM RD, WATERLOO, IL 62298</x:v>
      </x:c>
      <x:c r="B20" s="15" t="n">
        <x:v>0</x:v>
      </x:c>
      <x:c r="C20" s="15" t="n">
        <x:v>87.66</x:v>
      </x:c>
      <x:c r="D20" s="13" t="n">
        <x:f>ROUND(C20-B20,2)</x:f>
        <x:v>87.66</x:v>
      </x:c>
    </x:row>
    <x:row r="21" ht="46" customHeight="1">
      <x:c r="A21" s="9" t="str">
        <x:v>3400 KEIM RD, WATERLOO, IL 62298</x:v>
      </x:c>
      <x:c r="B21" s="11" t="n">
        <x:v>0</x:v>
      </x:c>
      <x:c r="C21" s="11" t="n">
        <x:v>211.21</x:v>
      </x:c>
      <x:c r="D21" s="13" t="n">
        <x:f>ROUND(C21-B21,2)</x:f>
        <x:v>211.21</x:v>
      </x:c>
    </x:row>
    <x:row r="22" ht="46" customHeight="1">
      <x:c r="A22" s="14" t="str">
        <x:v>3408 KEIM RD, WATERLOO, IL 62298 (CELL TOWER)</x:v>
      </x:c>
      <x:c r="B22" s="15" t="n">
        <x:v>0</x:v>
      </x:c>
      <x:c r="C22" s="15" t="n">
        <x:v>180.33</x:v>
      </x:c>
      <x:c r="D22" s="13" t="n">
        <x:f>ROUND(C22-B22,2)</x:f>
        <x:v>180.33</x:v>
      </x:c>
    </x:row>
    <x:row r="23" ht="46" customHeight="1">
      <x:c r="A23" s="9" t="str">
        <x:v>3442 KEIM RD, WATERLOO, IL 62298</x:v>
      </x:c>
      <x:c r="B23" s="11" t="n">
        <x:v>0</x:v>
      </x:c>
      <x:c r="C23" s="11" t="n">
        <x:v>148.33</x:v>
      </x:c>
      <x:c r="D23" s="13" t="n">
        <x:f>ROUND(C23-B23,2)</x:f>
        <x:v>148.33</x:v>
      </x:c>
    </x:row>
    <x:row r="24" ht="46" customHeight="1">
      <x:c r="A24" s="14" t="str">
        <x:v>3460 KEIM RD, WATERLOO, IL 62298</x:v>
      </x:c>
      <x:c r="B24" s="15" t="n">
        <x:v>0</x:v>
      </x:c>
      <x:c r="C24" s="15" t="n">
        <x:v>313.82</x:v>
      </x:c>
      <x:c r="D24" s="13" t="n">
        <x:f>ROUND(C24-B24,2)</x:f>
        <x:v>313.82</x:v>
      </x:c>
    </x:row>
    <x:row r="25" ht="46" customHeight="1">
      <x:c r="A25" s="9" t="str">
        <x:v>3509 KEIM RD, WATERLOO, IL 62298</x:v>
      </x:c>
      <x:c r="B25" s="11" t="n">
        <x:v>0</x:v>
      </x:c>
      <x:c r="C25" s="11" t="n">
        <x:v>126.27</x:v>
      </x:c>
      <x:c r="D25" s="13" t="n">
        <x:f>ROUND(C25-B25,2)</x:f>
        <x:v>126.27</x:v>
      </x:c>
    </x:row>
    <x:row r="26" ht="46" customHeight="1">
      <x:c r="A26" s="14" t="str">
        <x:v>3520 KEIM RD, WATERLOO, IL 62298</x:v>
      </x:c>
      <x:c r="B26" s="15" t="n">
        <x:v>0</x:v>
      </x:c>
      <x:c r="C26" s="15" t="n">
        <x:v>229.48</x:v>
      </x:c>
      <x:c r="D26" s="13" t="n">
        <x:f>ROUND(C26-B26,2)</x:f>
        <x:v>229.48</x:v>
      </x:c>
    </x:row>
    <x:row r="27" ht="46" customHeight="1">
      <x:c r="A27" s="9" t="str">
        <x:v>3563 KEIM RD, WATERLOO, IL 62298</x:v>
      </x:c>
      <x:c r="B27" s="11" t="n">
        <x:v>0</x:v>
      </x:c>
      <x:c r="C27" s="11" t="n">
        <x:v>101.56</x:v>
      </x:c>
      <x:c r="D27" s="13" t="n">
        <x:f>ROUND(C27-B27,2)</x:f>
        <x:v>101.56</x:v>
      </x:c>
    </x:row>
    <x:row r="28" ht="46" customHeight="1">
      <x:c r="A28" s="14" t="str">
        <x:v>6821 STATE RT 163, MILLSTADT, IL 62260</x:v>
      </x:c>
      <x:c r="B28" s="15" t="n">
        <x:v>108.38</x:v>
      </x:c>
      <x:c r="C28" s="15" t="n">
        <x:v>361.26</x:v>
      </x:c>
      <x:c r="D28" s="13" t="n">
        <x:f>ROUND(C28-B28,2)</x:f>
        <x:v>252.88</x:v>
      </x:c>
    </x:row>
    <x:row r="29" ht="46" customHeight="1">
      <x:c r="A29" s="9" t="str">
        <x:v>6807 STATE RTE 163, MILLSTADT, IL 62260</x:v>
      </x:c>
      <x:c r="B29" s="11" t="n">
        <x:v>104.53</x:v>
      </x:c>
      <x:c r="C29" s="11" t="n">
        <x:v>348.43</x:v>
      </x:c>
      <x:c r="D29" s="13" t="n">
        <x:f>ROUND(C29-B29,2)</x:f>
        <x:v>243.9</x:v>
      </x:c>
    </x:row>
    <x:row r="30" ht="46" customHeight="1">
      <x:c r="A30" s="14" t="str">
        <x:v>6901 STATE RTE 163, MILLSTADT, IL 62260</x:v>
      </x:c>
      <x:c r="B30" s="15" t="n">
        <x:v>69.98</x:v>
      </x:c>
      <x:c r="C30" s="15" t="n">
        <x:v>233.27</x:v>
      </x:c>
      <x:c r="D30" s="13" t="n">
        <x:f>ROUND(C30-B30,2)</x:f>
        <x:v>163.29</x:v>
      </x:c>
    </x:row>
    <x:row r="31" ht="46" customHeight="1">
      <x:c r="A31" s="9" t="str">
        <x:v>6925 STATE RTE 163, MILLSTADT, IL 62260
Parcel 12-04.0-400-012</x:v>
      </x:c>
      <x:c r="B31" s="11" t="n">
        <x:v>12.92</x:v>
      </x:c>
      <x:c r="C31" s="11" t="n">
        <x:v>43.07</x:v>
      </x:c>
      <x:c r="D31" s="13" t="n">
        <x:f>ROUND(C31-B31,2)</x:f>
        <x:v>30.15</x:v>
      </x:c>
    </x:row>
    <x:row r="32" ht="46" customHeight="1">
      <x:c r="A32" s="14" t="str">
        <x:v>6939 STATE RTE 163, MILLSTADT, IL 62260</x:v>
      </x:c>
      <x:c r="B32" s="15" t="n">
        <x:v>73.83</x:v>
      </x:c>
      <x:c r="C32" s="15" t="n">
        <x:v>246.1</x:v>
      </x:c>
      <x:c r="D32" s="13" t="n">
        <x:f>ROUND(C32-B32,2)</x:f>
        <x:v>172.27</x:v>
      </x:c>
    </x:row>
    <x:row r="33" ht="46" customHeight="1">
      <x:c r="A33" s="9" t="str">
        <x:v>6957 STATE RTE 163, MILLSTADT, IL 62260</x:v>
      </x:c>
      <x:c r="B33" s="11" t="n">
        <x:v>42.72</x:v>
      </x:c>
      <x:c r="C33" s="11" t="n">
        <x:v>142.4</x:v>
      </x:c>
      <x:c r="D33" s="13" t="n">
        <x:f>ROUND(C33-B33,2)</x:f>
        <x:v>99.68</x:v>
      </x:c>
    </x:row>
    <x:row r="34" ht="46" customHeight="1">
      <x:c r="A34" s="14" t="str">
        <x:v>7077 STATE RTE 163, MILLSTADT, IL 62260</x:v>
      </x:c>
      <x:c r="B34" s="15" t="n">
        <x:v>48.9</x:v>
      </x:c>
      <x:c r="C34" s="15" t="n">
        <x:v>162.99</x:v>
      </x:c>
      <x:c r="D34" s="13" t="n">
        <x:f>ROUND(C34-B34,2)</x:f>
        <x:v>114.09</x:v>
      </x:c>
    </x:row>
    <x:row r="35" ht="46" customHeight="1">
      <x:c r="A35" s="9" t="str">
        <x:v>7133 STATE RTE 163, MILLSTADT, IL 62260
Parcel 12-04.0-200-002</x:v>
      </x:c>
      <x:c r="B35" s="11" t="n">
        <x:v>55.39</x:v>
      </x:c>
      <x:c r="C35" s="11" t="n">
        <x:v>184.64</x:v>
      </x:c>
      <x:c r="D35" s="13" t="n">
        <x:f>ROUND(C35-B35,2)</x:f>
        <x:v>129.25</x:v>
      </x:c>
    </x:row>
    <x:row r="36" ht="46" customHeight="1">
      <x:c r="A36" s="14" t="str">
        <x:v>7133 STATE RTE 163, MILLSTADT, IL 62260
Parcel 12-04.0-200-005</x:v>
      </x:c>
      <x:c r="B36" s="15" t="n">
        <x:v>26.87</x:v>
      </x:c>
      <x:c r="C36" s="15" t="n">
        <x:v>89.55</x:v>
      </x:c>
      <x:c r="D36" s="13" t="n">
        <x:f>ROUND(C36-B36,2)</x:f>
        <x:v>62.68</x:v>
      </x:c>
    </x:row>
    <x:row r="37" ht="46" customHeight="1">
      <x:c r="A37" s="9" t="str">
        <x:v>7145 STATE RTE 163, MILLSTADT, IL 62260</x:v>
      </x:c>
      <x:c r="B37" s="11" t="n">
        <x:v>65.7</x:v>
      </x:c>
      <x:c r="C37" s="11" t="n">
        <x:v>218.99</x:v>
      </x:c>
      <x:c r="D37" s="13" t="n">
        <x:f>ROUND(C37-B37,2)</x:f>
        <x:v>153.29</x:v>
      </x:c>
    </x:row>
    <x:row r="38" ht="46" customHeight="1">
      <x:c r="A38" s="14" t="str">
        <x:v>7112 WALNUT LN, MILLSTADT, IL 62260</x:v>
      </x:c>
      <x:c r="B38" s="15" t="n">
        <x:v>35.55</x:v>
      </x:c>
      <x:c r="C38" s="15" t="n">
        <x:v>118.5</x:v>
      </x:c>
      <x:c r="D38" s="13" t="n">
        <x:f>ROUND(C38-B38,2)</x:f>
        <x:v>82.95</x:v>
      </x:c>
    </x:row>
    <x:row r="39" ht="46" customHeight="1">
      <x:c r="A39" s="9" t="str">
        <x:v>7118 WALNUT LN, MILLSTADT, IL 62260</x:v>
      </x:c>
      <x:c r="B39" s="11" t="n">
        <x:v>65.1</x:v>
      </x:c>
      <x:c r="C39" s="11" t="n">
        <x:v>216.99</x:v>
      </x:c>
      <x:c r="D39" s="13" t="n">
        <x:f>ROUND(C39-B39,2)</x:f>
        <x:v>151.89</x:v>
      </x:c>
    </x:row>
    <x:row r="40" ht="46" customHeight="1">
      <x:c r="A40" s="14" t="str">
        <x:v>7130 WALNUT LN, MILLSTADT, IL 62260</x:v>
      </x:c>
      <x:c r="B40" s="15" t="n">
        <x:v>24.68</x:v>
      </x:c>
      <x:c r="C40" s="15" t="n">
        <x:v>82.28</x:v>
      </x:c>
      <x:c r="D40" s="13" t="n">
        <x:f>ROUND(C40-B40,2)</x:f>
        <x:v>57.6</x:v>
      </x:c>
    </x:row>
    <x:row r="41" ht="46" customHeight="1">
      <x:c r="A41" s="9" t="str">
        <x:v>7167 WALNUT LN, MILLSTADT, IL 62260</x:v>
      </x:c>
      <x:c r="B41" s="11" t="n">
        <x:v>20.33</x:v>
      </x:c>
      <x:c r="C41" s="11" t="n">
        <x:v>67.77</x:v>
      </x:c>
      <x:c r="D41" s="13" t="n">
        <x:f>ROUND(C41-B41,2)</x:f>
        <x:v>47.44</x:v>
      </x:c>
    </x:row>
  </x:sheetData>
  <x:sheetProtection algorithmName="SHA-512" hashValue="aizeuJy0lVXZUQ0Y0tefGxlY+5aLyORnnwWW8Ckacoh0TNVIWILPubmIs1fiSj/sNo3JfsM77lGwVsarUgGrMg==" saltValue="R9FQciyh06alT2a2zUrMNA==" spinCount="100000" sheet="1" objects="1" scenarios="1"/>
  <x:pageMargins left="0.7" right="0.7" top="0.75" bottom="0.75" header="0.3" footer="0.3"/>
</x:worksheet>
</file>