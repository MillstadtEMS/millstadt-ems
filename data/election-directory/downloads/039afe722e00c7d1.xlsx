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a0d39ab8f403e" /></Relationships>
</file>

<file path=xl/workbook.xml><?xml version="1.0" encoding="utf-8"?>
<x:workbook xmlns:x="http://schemas.openxmlformats.org/spreadsheetml/2006/main">
  <x:workbookProtection workbookAlgorithmName="SHA-512" workbookHashValue="hPKiRJzAAlAZVmixUuHukY9Gkepu4LDJju2KJeyZRpbR+ddJvw94g8flwm1trRC8JdBxp3EM1LWAov1VMYc54A==" workbookSaltValue="QwFHEwznECOjjQezmnGOsw==" workbookSpinCount="100000" lockStructure="1"/>
  <x:sheets>
    <x:sheet xmlns:r="http://schemas.openxmlformats.org/officeDocument/2006/relationships" name="Annual EMS taxes" sheetId="1" r:id="Rfa41e26b7ca0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ade81a8334ad7" /><Relationship Type="http://schemas.openxmlformats.org/officeDocument/2006/relationships/theme" Target="/xl/theme/theme1.xml" Id="R320e2287f1014cef" /><Relationship Type="http://schemas.openxmlformats.org/officeDocument/2006/relationships/sharedStrings" Target="/xl/sharedStrings.xml" Id="R05bb7cb3e26a4889" /><Relationship Type="http://schemas.openxmlformats.org/officeDocument/2006/relationships/worksheet" Target="/xl/worksheets/sheet1.xml" Id="Rfa41e26b7ca048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33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3501 BRIDGE LN, MILLSTADT, IL 62260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3503 BRIDGE LN, MILLSTADT, IL 62260</x:v>
      </x:c>
      <x:c r="B8" s="15" t="n">
        <x:v>76.69</x:v>
      </x:c>
      <x:c r="C8" s="15" t="n">
        <x:v>255.65</x:v>
      </x:c>
      <x:c r="D8" s="13" t="n">
        <x:f>ROUND(C8-B8,2)</x:f>
        <x:v>178.96</x:v>
      </x:c>
    </x:row>
    <x:row r="9" ht="46" customHeight="1">
      <x:c r="A9" s="9" t="str">
        <x:v>3515 BRIDGE LN, MILLSTADT, IL 62260</x:v>
      </x:c>
      <x:c r="B9" s="11" t="n">
        <x:v>31.62</x:v>
      </x:c>
      <x:c r="C9" s="11" t="n">
        <x:v>105.41</x:v>
      </x:c>
      <x:c r="D9" s="13" t="n">
        <x:f>ROUND(C9-B9,2)</x:f>
        <x:v>73.79</x:v>
      </x:c>
    </x:row>
    <x:row r="10" ht="46" customHeight="1">
      <x:c r="A10" s="14" t="str">
        <x:v>3516 BRIDGE LN, MILLSTADT, IL 62260</x:v>
      </x:c>
      <x:c r="B10" s="15" t="n">
        <x:v>131.47</x:v>
      </x:c>
      <x:c r="C10" s="15" t="n">
        <x:v>438.23</x:v>
      </x:c>
      <x:c r="D10" s="13" t="n">
        <x:f>ROUND(C10-B10,2)</x:f>
        <x:v>306.76</x:v>
      </x:c>
    </x:row>
    <x:row r="11" ht="46" customHeight="1">
      <x:c r="A11" s="9" t="str">
        <x:v>3520 BRIDGE LN, MILLSTADT, IL 62260</x:v>
      </x:c>
      <x:c r="B11" s="11" t="n">
        <x:v>301.76</x:v>
      </x:c>
      <x:c r="C11" s="11" t="n">
        <x:v>1005.88</x:v>
      </x:c>
      <x:c r="D11" s="13" t="n">
        <x:f>ROUND(C11-B11,2)</x:f>
        <x:v>704.12</x:v>
      </x:c>
    </x:row>
    <x:row r="12" ht="46" customHeight="1">
      <x:c r="A12" s="14" t="str">
        <x:v>3525 BRIDGE LN, MILLSTADT, IL 62260</x:v>
      </x:c>
      <x:c r="B12" s="15" t="n">
        <x:v>145.14</x:v>
      </x:c>
      <x:c r="C12" s="15" t="n">
        <x:v>483.79</x:v>
      </x:c>
      <x:c r="D12" s="13" t="n">
        <x:f>ROUND(C12-B12,2)</x:f>
        <x:v>338.65</x:v>
      </x:c>
    </x:row>
    <x:row r="13" ht="46" customHeight="1">
      <x:c r="A13" s="9" t="str">
        <x:v>3526 BRIDGE LN, MILLSTADT, IL 62260</x:v>
      </x:c>
      <x:c r="B13" s="11" t="n">
        <x:v>235.54</x:v>
      </x:c>
      <x:c r="C13" s="11" t="n">
        <x:v>785.12</x:v>
      </x:c>
      <x:c r="D13" s="13" t="n">
        <x:f>ROUND(C13-B13,2)</x:f>
        <x:v>549.58</x:v>
      </x:c>
    </x:row>
    <x:row r="14" ht="46" customHeight="1">
      <x:c r="A14" s="14" t="str">
        <x:v>3539 BRIDGE LN, MILLSTADT, IL 62260</x:v>
      </x:c>
      <x:c r="B14" s="15" t="n">
        <x:v>61.95</x:v>
      </x:c>
      <x:c r="C14" s="15" t="n">
        <x:v>206.51</x:v>
      </x:c>
      <x:c r="D14" s="13" t="n">
        <x:f>ROUND(C14-B14,2)</x:f>
        <x:v>144.56</x:v>
      </x:c>
    </x:row>
    <x:row r="15" ht="46" customHeight="1">
      <x:c r="A15" s="9" t="str">
        <x:v>3545 BRIDGE LN, MILLSTADT, IL 62260</x:v>
      </x:c>
      <x:c r="B15" s="11" t="n">
        <x:v>91.14</x:v>
      </x:c>
      <x:c r="C15" s="11" t="n">
        <x:v>303.82</x:v>
      </x:c>
      <x:c r="D15" s="13" t="n">
        <x:f>ROUND(C15-B15,2)</x:f>
        <x:v>212.68</x:v>
      </x:c>
    </x:row>
    <x:row r="16" ht="46" customHeight="1">
      <x:c r="A16" s="14" t="str">
        <x:v>9606 CONCORDIA CHURCH RD, MILLSTADT, IL 62260</x:v>
      </x:c>
      <x:c r="B16" s="15" t="n">
        <x:v>31.72</x:v>
      </x:c>
      <x:c r="C16" s="15" t="n">
        <x:v>105.74</x:v>
      </x:c>
      <x:c r="D16" s="13" t="n">
        <x:f>ROUND(C16-B16,2)</x:f>
        <x:v>74.02</x:v>
      </x:c>
    </x:row>
    <x:row r="17" ht="46" customHeight="1">
      <x:c r="A17" s="9" t="str">
        <x:v>9714 CONCORDIA CHURCH RD, MILLSTADT, IL 62260</x:v>
      </x:c>
      <x:c r="B17" s="11" t="n">
        <x:v>43.26</x:v>
      </x:c>
      <x:c r="C17" s="11" t="n">
        <x:v>144.19</x:v>
      </x:c>
      <x:c r="D17" s="13" t="n">
        <x:f>ROUND(C17-B17,2)</x:f>
        <x:v>100.93</x:v>
      </x:c>
    </x:row>
    <x:row r="18" ht="46" customHeight="1">
      <x:c r="A18" s="14" t="str">
        <x:v>9746 CONCORDIA CHURCH RD, MILLSTADT, IL 62260</x:v>
      </x:c>
      <x:c r="B18" s="15" t="n">
        <x:v>58.54</x:v>
      </x:c>
      <x:c r="C18" s="15" t="n">
        <x:v>195.14</x:v>
      </x:c>
      <x:c r="D18" s="13" t="n">
        <x:f>ROUND(C18-B18,2)</x:f>
        <x:v>136.6</x:v>
      </x:c>
    </x:row>
    <x:row r="19" ht="46" customHeight="1">
      <x:c r="A19" s="9" t="str">
        <x:v>9226 CONCORDIA RD, BELLEVILLE, IL 62223</x:v>
      </x:c>
      <x:c r="B19" s="11" t="n">
        <x:v>45.94</x:v>
      </x:c>
      <x:c r="C19" s="11" t="n">
        <x:v>153.12</x:v>
      </x:c>
      <x:c r="D19" s="13" t="n">
        <x:f>ROUND(C19-B19,2)</x:f>
        <x:v>107.18</x:v>
      </x:c>
    </x:row>
    <x:row r="20" ht="46" customHeight="1">
      <x:c r="A20" s="14" t="str">
        <x:v>9304 CONCORDIA RD, BELLEVILLE, IL 62223
Parcel 07-33.0-200-044</x:v>
      </x:c>
      <x:c r="B20" s="15" t="n">
        <x:v>65.9</x:v>
      </x:c>
      <x:c r="C20" s="15" t="n">
        <x:v>219.65</x:v>
      </x:c>
      <x:c r="D20" s="13" t="n">
        <x:f>ROUND(C20-B20,2)</x:f>
        <x:v>153.75</x:v>
      </x:c>
    </x:row>
    <x:row r="21" ht="46" customHeight="1">
      <x:c r="A21" s="9" t="str">
        <x:v>9304 CONCORDIA RD, BELLEVILLE, IL 62223
Parcel 07-33.0-200-045</x:v>
      </x:c>
      <x:c r="B21" s="11" t="n">
        <x:v>15.07</x:v>
      </x:c>
      <x:c r="C21" s="11" t="n">
        <x:v>50.23</x:v>
      </x:c>
      <x:c r="D21" s="13" t="n">
        <x:f>ROUND(C21-B21,2)</x:f>
        <x:v>35.16</x:v>
      </x:c>
    </x:row>
    <x:row r="22" ht="46" customHeight="1">
      <x:c r="A22" s="14" t="str">
        <x:v>3263 MUELLER RD, MILLSTADT, IL 62260</x:v>
      </x:c>
      <x:c r="B22" s="15" t="n">
        <x:v>4.79</x:v>
      </x:c>
      <x:c r="C22" s="15" t="n">
        <x:v>15.96</x:v>
      </x:c>
      <x:c r="D22" s="13" t="n">
        <x:f>ROUND(C22-B22,2)</x:f>
        <x:v>11.17</x:v>
      </x:c>
    </x:row>
    <x:row r="23" ht="46" customHeight="1">
      <x:c r="A23" s="9" t="str">
        <x:v>7380 MUELLER RD, MILLSTADT, IL 62260</x:v>
      </x:c>
      <x:c r="B23" s="11" t="n">
        <x:v>188.84</x:v>
      </x:c>
      <x:c r="C23" s="11" t="n">
        <x:v>629.47</x:v>
      </x:c>
      <x:c r="D23" s="13" t="n">
        <x:f>ROUND(C23-B23,2)</x:f>
        <x:v>440.63</x:v>
      </x:c>
    </x:row>
    <x:row r="24" ht="46" customHeight="1">
      <x:c r="A24" s="14" t="str">
        <x:v>7401 MUELLER RD, MILLSTADT, IL 62260
Parcel 07-33.0-300-010</x:v>
      </x:c>
      <x:c r="B24" s="15" t="n">
        <x:v>7.14</x:v>
      </x:c>
      <x:c r="C24" s="15" t="n">
        <x:v>23.78</x:v>
      </x:c>
      <x:c r="D24" s="13" t="n">
        <x:f>ROUND(C24-B24,2)</x:f>
        <x:v>16.64</x:v>
      </x:c>
    </x:row>
    <x:row r="25" ht="46" customHeight="1">
      <x:c r="A25" s="9" t="str">
        <x:v>7407 MUELLER RD, MILLSTADT, IL 62260</x:v>
      </x:c>
      <x:c r="B25" s="11" t="n">
        <x:v>52.7</x:v>
      </x:c>
      <x:c r="C25" s="11" t="n">
        <x:v>175.67</x:v>
      </x:c>
      <x:c r="D25" s="13" t="n">
        <x:f>ROUND(C25-B25,2)</x:f>
        <x:v>122.97</x:v>
      </x:c>
    </x:row>
    <x:row r="26" ht="46" customHeight="1">
      <x:c r="A26" s="14" t="str">
        <x:v>7425 MUELLER RD, MILLSTADT, IL 62260</x:v>
      </x:c>
      <x:c r="B26" s="15" t="n">
        <x:v>52.16</x:v>
      </x:c>
      <x:c r="C26" s="15" t="n">
        <x:v>173.88</x:v>
      </x:c>
      <x:c r="D26" s="13" t="n">
        <x:f>ROUND(C26-B26,2)</x:f>
        <x:v>121.72</x:v>
      </x:c>
    </x:row>
    <x:row r="27" ht="46" customHeight="1">
      <x:c r="A27" s="9" t="str">
        <x:v>7453 MUELLER RD, MILLSTADT, IL 62260
Parcel 07-33.0-300-011</x:v>
      </x:c>
      <x:c r="B27" s="11" t="n">
        <x:v>5.64</x:v>
      </x:c>
      <x:c r="C27" s="11" t="n">
        <x:v>18.8</x:v>
      </x:c>
      <x:c r="D27" s="13" t="n">
        <x:f>ROUND(C27-B27,2)</x:f>
        <x:v>13.16</x:v>
      </x:c>
    </x:row>
    <x:row r="28" ht="46" customHeight="1">
      <x:c r="A28" s="14" t="str">
        <x:v>3538 SCHUBERT LN, MILLSTADT, IL 62260</x:v>
      </x:c>
      <x:c r="B28" s="15" t="n">
        <x:v>173.81</x:v>
      </x:c>
      <x:c r="C28" s="15" t="n">
        <x:v>579.36</x:v>
      </x:c>
      <x:c r="D28" s="13" t="n">
        <x:f>ROUND(C28-B28,2)</x:f>
        <x:v>405.55</x:v>
      </x:c>
    </x:row>
    <x:row r="29" ht="46" customHeight="1">
      <x:c r="A29" s="9" t="str">
        <x:v>7426 STATE RT 163, MILLSTADT, IL 62260</x:v>
      </x:c>
      <x:c r="B29" s="11" t="n">
        <x:v>3.35</x:v>
      </x:c>
      <x:c r="C29" s="11" t="n">
        <x:v>11.17</x:v>
      </x:c>
      <x:c r="D29" s="13" t="n">
        <x:f>ROUND(C29-B29,2)</x:f>
        <x:v>7.82</x:v>
      </x:c>
    </x:row>
    <x:row r="30" ht="46" customHeight="1">
      <x:c r="A30" s="14" t="str">
        <x:v>7237 STATE RTE 163, MILLSTADT, IL 62260</x:v>
      </x:c>
      <x:c r="B30" s="15" t="n">
        <x:v>109.31</x:v>
      </x:c>
      <x:c r="C30" s="15" t="n">
        <x:v>364.37</x:v>
      </x:c>
      <x:c r="D30" s="13" t="n">
        <x:f>ROUND(C30-B30,2)</x:f>
        <x:v>255.06</x:v>
      </x:c>
    </x:row>
    <x:row r="31" ht="46" customHeight="1">
      <x:c r="A31" s="9" t="str">
        <x:v>7404 STATE RTE 163, MILLSTADT, IL 62260</x:v>
      </x:c>
      <x:c r="B31" s="11" t="n">
        <x:v>59.62</x:v>
      </x:c>
      <x:c r="C31" s="11" t="n">
        <x:v>198.73</x:v>
      </x:c>
      <x:c r="D31" s="13" t="n">
        <x:f>ROUND(C31-B31,2)</x:f>
        <x:v>139.11</x:v>
      </x:c>
    </x:row>
    <x:row r="32" ht="46" customHeight="1">
      <x:c r="A32" s="14" t="str">
        <x:v>7426 STATE RTE 163, MILLSTADT, IL 62260</x:v>
      </x:c>
      <x:c r="B32" s="15" t="n">
        <x:v>68.91</x:v>
      </x:c>
      <x:c r="C32" s="15" t="n">
        <x:v>229.71</x:v>
      </x:c>
      <x:c r="D32" s="13" t="n">
        <x:f>ROUND(C32-B32,2)</x:f>
        <x:v>160.8</x:v>
      </x:c>
    </x:row>
    <x:row r="33" ht="46" customHeight="1">
      <x:c r="A33" s="9" t="str">
        <x:v>7438 STATE RTE 163, MILLSTADT, IL 62260</x:v>
      </x:c>
      <x:c r="B33" s="11" t="n">
        <x:v>74.07</x:v>
      </x:c>
      <x:c r="C33" s="11" t="n">
        <x:v>246.92</x:v>
      </x:c>
      <x:c r="D33" s="13" t="n">
        <x:f>ROUND(C33-B33,2)</x:f>
        <x:v>172.85</x:v>
      </x:c>
    </x:row>
    <x:row r="34" ht="46" customHeight="1">
      <x:c r="A34" s="14" t="str">
        <x:v>7500 STATE RTE 163, MILLSTADT, IL 62260</x:v>
      </x:c>
      <x:c r="B34" s="15" t="n">
        <x:v>61.21</x:v>
      </x:c>
      <x:c r="C34" s="15" t="n">
        <x:v>204.04</x:v>
      </x:c>
      <x:c r="D34" s="13" t="n">
        <x:f>ROUND(C34-B34,2)</x:f>
        <x:v>142.83</x:v>
      </x:c>
    </x:row>
    <x:row r="35" ht="46" customHeight="1">
      <x:c r="A35" s="9" t="str">
        <x:v>3454 WHITE PINE CT, MILLSTADT, IL 62260</x:v>
      </x:c>
      <x:c r="B35" s="11" t="n">
        <x:v>80.48</x:v>
      </x:c>
      <x:c r="C35" s="11" t="n">
        <x:v>268.28</x:v>
      </x:c>
      <x:c r="D35" s="13" t="n">
        <x:f>ROUND(C35-B35,2)</x:f>
        <x:v>187.8</x:v>
      </x:c>
    </x:row>
    <x:row r="36" ht="46" customHeight="1">
      <x:c r="A36" s="14" t="str">
        <x:v>3455 WHITE PINE CT, MILLSTADT, IL 62260
Parcel 07-33.0-200-050</x:v>
      </x:c>
      <x:c r="B36" s="15" t="n">
        <x:v>0.44</x:v>
      </x:c>
      <x:c r="C36" s="15" t="n">
        <x:v>1.47</x:v>
      </x:c>
      <x:c r="D36" s="13" t="n">
        <x:f>ROUND(C36-B36,2)</x:f>
        <x:v>1.03</x:v>
      </x:c>
    </x:row>
    <x:row r="37" ht="46" customHeight="1">
      <x:c r="A37" s="9" t="str">
        <x:v>3455 WHITE PINE CT, MILLSTADT, IL 62260
Parcel 07-33.0-200-051</x:v>
      </x:c>
      <x:c r="B37" s="11" t="n">
        <x:v>2.02</x:v>
      </x:c>
      <x:c r="C37" s="11" t="n">
        <x:v>6.72</x:v>
      </x:c>
      <x:c r="D37" s="13" t="n">
        <x:f>ROUND(C37-B37,2)</x:f>
        <x:v>4.7</x:v>
      </x:c>
    </x:row>
    <x:row r="38" ht="46" customHeight="1">
      <x:c r="A38" s="14" t="str">
        <x:v>3460 WHITE PINE CT, MILLSTADT, IL 62260</x:v>
      </x:c>
      <x:c r="B38" s="15" t="n">
        <x:v>94.78</x:v>
      </x:c>
      <x:c r="C38" s="15" t="n">
        <x:v>315.92</x:v>
      </x:c>
      <x:c r="D38" s="13" t="n">
        <x:f>ROUND(C38-B38,2)</x:f>
        <x:v>221.14</x:v>
      </x:c>
    </x:row>
    <x:row r="39" ht="46" customHeight="1">
      <x:c r="A39" s="9" t="str">
        <x:v>3231 ZINGG RD, MILLSTADT, IL 62260</x:v>
      </x:c>
      <x:c r="B39" s="11" t="n">
        <x:v>80.61</x:v>
      </x:c>
      <x:c r="C39" s="11" t="n">
        <x:v>268.71</x:v>
      </x:c>
      <x:c r="D39" s="13" t="n">
        <x:f>ROUND(C39-B39,2)</x:f>
        <x:v>188.1</x:v>
      </x:c>
    </x:row>
  </x:sheetData>
  <x:sheetProtection algorithmName="SHA-512" hashValue="hPKiRJzAAlAZVmixUuHukY9Gkepu4LDJju2KJeyZRpbR+ddJvw94g8flwm1trRC8JdBxp3EM1LWAov1VMYc54A==" saltValue="QwFHEwznECOjjQezmnGOsw==" spinCount="100000" sheet="1" objects="1" scenarios="1"/>
  <x:pageMargins left="0.7" right="0.7" top="0.75" bottom="0.75" header="0.3" footer="0.3"/>
</x:worksheet>
</file>