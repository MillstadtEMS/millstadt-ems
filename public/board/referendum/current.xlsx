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j/Desktop/"/>
    </mc:Choice>
  </mc:AlternateContent>
  <xr:revisionPtr revIDLastSave="0" documentId="13_ncr:1_{C1C52F3F-706E-D146-9C6C-3651F5DF93DE}" xr6:coauthVersionLast="47" xr6:coauthVersionMax="47" xr10:uidLastSave="{00000000-0000-0000-0000-000000000000}"/>
  <bookViews>
    <workbookView xWindow="0" yWindow="680" windowWidth="22840" windowHeight="19900" activeTab="3" xr2:uid="{00000000-000D-0000-FFFF-FFFF00000000}"/>
  </bookViews>
  <sheets>
    <sheet name="Dashboard" sheetId="1" r:id="rId1"/>
    <sheet name="Budget" sheetId="2" r:id="rId2"/>
    <sheet name="Details" sheetId="3" r:id="rId3"/>
    <sheet name="Scenarios" sheetId="4" r:id="rId4"/>
    <sheet name="Transfer Division" sheetId="5" r:id="rId5"/>
    <sheet name="Change Lo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5" l="1"/>
  <c r="D24" i="5"/>
  <c r="C24" i="5"/>
  <c r="E15" i="5"/>
  <c r="E64" i="5" s="1"/>
  <c r="D15" i="5"/>
  <c r="D61" i="5" s="1"/>
  <c r="C15" i="5"/>
  <c r="C56" i="5" s="1"/>
  <c r="H10" i="5"/>
  <c r="D8" i="1" s="1"/>
  <c r="H4" i="5"/>
  <c r="E28" i="5" s="1"/>
  <c r="E29" i="5" s="1"/>
  <c r="E64" i="4"/>
  <c r="D64" i="4"/>
  <c r="C64" i="4"/>
  <c r="E63" i="4"/>
  <c r="D63" i="4"/>
  <c r="C63" i="4"/>
  <c r="E60" i="4"/>
  <c r="D60" i="4"/>
  <c r="C60" i="4"/>
  <c r="C42" i="4"/>
  <c r="H40" i="4"/>
  <c r="H39" i="4"/>
  <c r="H38" i="4"/>
  <c r="E32" i="4"/>
  <c r="E43" i="4" s="1"/>
  <c r="D32" i="4"/>
  <c r="D43" i="4" s="1"/>
  <c r="C32" i="4"/>
  <c r="C43" i="4" s="1"/>
  <c r="D21" i="4"/>
  <c r="D42" i="4" s="1"/>
  <c r="C21" i="4"/>
  <c r="E16" i="4"/>
  <c r="E21" i="4" s="1"/>
  <c r="E42" i="4" s="1"/>
  <c r="D16" i="4"/>
  <c r="C16" i="4"/>
  <c r="H2" i="4"/>
  <c r="F34" i="5" s="1"/>
  <c r="H149" i="3"/>
  <c r="E149" i="3"/>
  <c r="H148" i="3"/>
  <c r="E148" i="3"/>
  <c r="H147" i="3"/>
  <c r="E147" i="3"/>
  <c r="H146" i="3"/>
  <c r="E146" i="3"/>
  <c r="H145" i="3"/>
  <c r="E145" i="3"/>
  <c r="H144" i="3"/>
  <c r="E144" i="3"/>
  <c r="H143" i="3"/>
  <c r="E143" i="3"/>
  <c r="H142" i="3"/>
  <c r="E142" i="3"/>
  <c r="H141" i="3"/>
  <c r="E141" i="3"/>
  <c r="H140" i="3"/>
  <c r="E140" i="3"/>
  <c r="H139" i="3"/>
  <c r="E139" i="3"/>
  <c r="H138" i="3"/>
  <c r="H150" i="3" s="1"/>
  <c r="C35" i="2" s="1"/>
  <c r="B55" i="1" s="1"/>
  <c r="E138" i="3"/>
  <c r="E133" i="3"/>
  <c r="E134" i="3" s="1"/>
  <c r="C34" i="2" s="1"/>
  <c r="B54" i="1" s="1"/>
  <c r="E132" i="3"/>
  <c r="E131" i="3"/>
  <c r="H126" i="3"/>
  <c r="H125" i="3"/>
  <c r="H124" i="3"/>
  <c r="H123" i="3"/>
  <c r="H122" i="3"/>
  <c r="H121" i="3"/>
  <c r="H127" i="3" s="1"/>
  <c r="C33" i="2" s="1"/>
  <c r="J116" i="3"/>
  <c r="J115" i="3"/>
  <c r="J114" i="3"/>
  <c r="J113" i="3"/>
  <c r="J112" i="3"/>
  <c r="J111" i="3"/>
  <c r="J110" i="3"/>
  <c r="J109" i="3"/>
  <c r="J108" i="3"/>
  <c r="J107" i="3"/>
  <c r="J106" i="3"/>
  <c r="J105" i="3"/>
  <c r="C104" i="3"/>
  <c r="J104" i="3" s="1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C12" i="3"/>
  <c r="C44" i="2"/>
  <c r="C45" i="2" s="1"/>
  <c r="A44" i="2"/>
  <c r="C6" i="2"/>
  <c r="C5" i="2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B38" i="1"/>
  <c r="A38" i="1"/>
  <c r="B37" i="1"/>
  <c r="A37" i="1"/>
  <c r="B36" i="1"/>
  <c r="A36" i="1"/>
  <c r="B35" i="1"/>
  <c r="A35" i="1"/>
  <c r="B34" i="1"/>
  <c r="A34" i="1"/>
  <c r="K8" i="1"/>
  <c r="H8" i="1"/>
  <c r="K1" i="1"/>
  <c r="A2" i="2" s="1"/>
  <c r="C53" i="5" l="1"/>
  <c r="C55" i="5"/>
  <c r="E53" i="5"/>
  <c r="C54" i="5"/>
  <c r="C57" i="5"/>
  <c r="C60" i="5"/>
  <c r="C63" i="5"/>
  <c r="H111" i="3"/>
  <c r="H103" i="3"/>
  <c r="H96" i="3"/>
  <c r="H84" i="3"/>
  <c r="H113" i="3"/>
  <c r="H104" i="3"/>
  <c r="E40" i="4"/>
  <c r="H78" i="3"/>
  <c r="F27" i="4"/>
  <c r="E44" i="3" s="1"/>
  <c r="C51" i="2"/>
  <c r="H90" i="3"/>
  <c r="C52" i="2"/>
  <c r="E45" i="4"/>
  <c r="D45" i="4"/>
  <c r="H83" i="3"/>
  <c r="H89" i="3"/>
  <c r="H95" i="3"/>
  <c r="H101" i="3"/>
  <c r="H109" i="3"/>
  <c r="F29" i="4"/>
  <c r="E46" i="3" s="1"/>
  <c r="F16" i="5"/>
  <c r="F35" i="5"/>
  <c r="H102" i="3"/>
  <c r="H110" i="3"/>
  <c r="F17" i="4"/>
  <c r="E33" i="3" s="1"/>
  <c r="F30" i="4"/>
  <c r="E47" i="3" s="1"/>
  <c r="F20" i="5"/>
  <c r="H97" i="3"/>
  <c r="C26" i="2" s="1"/>
  <c r="H112" i="3"/>
  <c r="F8" i="4"/>
  <c r="B15" i="1" s="1"/>
  <c r="D6" i="3" s="1"/>
  <c r="F19" i="4"/>
  <c r="E35" i="3" s="1"/>
  <c r="F9" i="4"/>
  <c r="B17" i="1" s="1"/>
  <c r="D7" i="3" s="1"/>
  <c r="F20" i="4"/>
  <c r="E36" i="3" s="1"/>
  <c r="F59" i="4"/>
  <c r="B20" i="1" s="1"/>
  <c r="C14" i="3" s="1"/>
  <c r="F10" i="4"/>
  <c r="B19" i="1" s="1"/>
  <c r="D13" i="3" s="1"/>
  <c r="F35" i="4"/>
  <c r="F61" i="3" s="1"/>
  <c r="G61" i="3" s="1"/>
  <c r="F7" i="5"/>
  <c r="F24" i="5"/>
  <c r="F18" i="4"/>
  <c r="E34" i="3" s="1"/>
  <c r="H79" i="3"/>
  <c r="H85" i="3"/>
  <c r="H91" i="3"/>
  <c r="H98" i="3"/>
  <c r="H92" i="3"/>
  <c r="H105" i="3"/>
  <c r="H74" i="3"/>
  <c r="H80" i="3"/>
  <c r="H86" i="3"/>
  <c r="H93" i="3"/>
  <c r="H99" i="3"/>
  <c r="H106" i="3"/>
  <c r="H114" i="3"/>
  <c r="F11" i="4"/>
  <c r="B21" i="1" s="1"/>
  <c r="D14" i="3" s="1"/>
  <c r="F36" i="4"/>
  <c r="F70" i="3" s="1"/>
  <c r="F26" i="5"/>
  <c r="H87" i="3"/>
  <c r="H107" i="3"/>
  <c r="H115" i="3"/>
  <c r="F14" i="4"/>
  <c r="E30" i="3" s="1"/>
  <c r="F26" i="4"/>
  <c r="E43" i="3" s="1"/>
  <c r="F27" i="5"/>
  <c r="F33" i="5"/>
  <c r="H75" i="3"/>
  <c r="H81" i="3"/>
  <c r="H88" i="3"/>
  <c r="H94" i="3"/>
  <c r="H100" i="3"/>
  <c r="H116" i="3"/>
  <c r="C29" i="2" s="1"/>
  <c r="H82" i="3"/>
  <c r="H108" i="3"/>
  <c r="F28" i="4"/>
  <c r="E45" i="3" s="1"/>
  <c r="E41" i="4"/>
  <c r="E44" i="4" s="1"/>
  <c r="B53" i="1"/>
  <c r="C36" i="2"/>
  <c r="H76" i="3"/>
  <c r="F16" i="4"/>
  <c r="E32" i="3" s="1"/>
  <c r="F25" i="4"/>
  <c r="E42" i="3" s="1"/>
  <c r="F57" i="4"/>
  <c r="B16" i="1" s="1"/>
  <c r="C7" i="3" s="1"/>
  <c r="F14" i="5"/>
  <c r="E19" i="5"/>
  <c r="E21" i="5" s="1"/>
  <c r="D56" i="5"/>
  <c r="E61" i="5"/>
  <c r="C45" i="4"/>
  <c r="F58" i="4"/>
  <c r="B18" i="1" s="1"/>
  <c r="F32" i="5"/>
  <c r="D53" i="5"/>
  <c r="E56" i="5"/>
  <c r="C62" i="5"/>
  <c r="H77" i="3"/>
  <c r="D62" i="5"/>
  <c r="C30" i="5"/>
  <c r="C31" i="5" s="1"/>
  <c r="D57" i="5"/>
  <c r="E62" i="5"/>
  <c r="F15" i="5"/>
  <c r="D30" i="5"/>
  <c r="D31" i="5" s="1"/>
  <c r="F31" i="5" s="1"/>
  <c r="D54" i="5"/>
  <c r="E57" i="5"/>
  <c r="C40" i="4"/>
  <c r="C8" i="5"/>
  <c r="C10" i="5" s="1"/>
  <c r="C28" i="5"/>
  <c r="C29" i="5" s="1"/>
  <c r="E30" i="5"/>
  <c r="E31" i="5" s="1"/>
  <c r="B36" i="5"/>
  <c r="E54" i="5"/>
  <c r="D63" i="5"/>
  <c r="F56" i="3"/>
  <c r="G56" i="3" s="1"/>
  <c r="F15" i="4"/>
  <c r="E31" i="3" s="1"/>
  <c r="F31" i="4"/>
  <c r="E48" i="3" s="1"/>
  <c r="D40" i="4"/>
  <c r="D8" i="5"/>
  <c r="D10" i="5" s="1"/>
  <c r="F17" i="5"/>
  <c r="D28" i="5"/>
  <c r="D29" i="5" s="1"/>
  <c r="F29" i="5" s="1"/>
  <c r="D60" i="5"/>
  <c r="E63" i="5"/>
  <c r="E8" i="5"/>
  <c r="E10" i="5" s="1"/>
  <c r="F18" i="5"/>
  <c r="F22" i="5"/>
  <c r="D55" i="5"/>
  <c r="E60" i="5"/>
  <c r="C64" i="5"/>
  <c r="C19" i="5"/>
  <c r="C21" i="5" s="1"/>
  <c r="F23" i="5"/>
  <c r="E55" i="5"/>
  <c r="C61" i="5"/>
  <c r="D64" i="5"/>
  <c r="F24" i="4"/>
  <c r="F56" i="4"/>
  <c r="F9" i="5"/>
  <c r="F13" i="5"/>
  <c r="D19" i="5"/>
  <c r="D21" i="5" s="1"/>
  <c r="F21" i="5" s="1"/>
  <c r="F28" i="5" l="1"/>
  <c r="E14" i="3"/>
  <c r="C25" i="2"/>
  <c r="F62" i="3"/>
  <c r="G62" i="3" s="1"/>
  <c r="D12" i="3"/>
  <c r="E12" i="3" s="1"/>
  <c r="C27" i="2"/>
  <c r="F57" i="3"/>
  <c r="G57" i="3" s="1"/>
  <c r="D8" i="3"/>
  <c r="F68" i="3"/>
  <c r="G68" i="3" s="1"/>
  <c r="F63" i="3"/>
  <c r="G63" i="3" s="1"/>
  <c r="F66" i="3"/>
  <c r="G66" i="3" s="1"/>
  <c r="F53" i="3"/>
  <c r="G53" i="3" s="1"/>
  <c r="C24" i="2"/>
  <c r="F58" i="3"/>
  <c r="G58" i="3" s="1"/>
  <c r="C28" i="2"/>
  <c r="E37" i="3"/>
  <c r="C17" i="2" s="1"/>
  <c r="F21" i="4"/>
  <c r="C9" i="3"/>
  <c r="E7" i="3"/>
  <c r="F67" i="3"/>
  <c r="G67" i="3" s="1"/>
  <c r="F59" i="3"/>
  <c r="G59" i="3" s="1"/>
  <c r="F55" i="3"/>
  <c r="G55" i="3" s="1"/>
  <c r="F54" i="3"/>
  <c r="G54" i="3" s="1"/>
  <c r="F65" i="3"/>
  <c r="G65" i="3" s="1"/>
  <c r="F60" i="3"/>
  <c r="G60" i="3" s="1"/>
  <c r="F64" i="3"/>
  <c r="G64" i="3" s="1"/>
  <c r="D9" i="3"/>
  <c r="C23" i="2"/>
  <c r="D41" i="4"/>
  <c r="D44" i="4" s="1"/>
  <c r="F19" i="5"/>
  <c r="E46" i="4"/>
  <c r="D46" i="4"/>
  <c r="C46" i="4"/>
  <c r="D38" i="5"/>
  <c r="D11" i="5"/>
  <c r="F10" i="5"/>
  <c r="C13" i="3"/>
  <c r="E13" i="3" s="1"/>
  <c r="C8" i="3"/>
  <c r="C70" i="3"/>
  <c r="G70" i="3" s="1"/>
  <c r="E11" i="3" s="1"/>
  <c r="C38" i="5"/>
  <c r="C48" i="4" s="1"/>
  <c r="C11" i="5"/>
  <c r="C39" i="5" s="1"/>
  <c r="C22" i="2"/>
  <c r="H117" i="3"/>
  <c r="C41" i="4"/>
  <c r="C44" i="4" s="1"/>
  <c r="E38" i="5"/>
  <c r="E48" i="4" s="1"/>
  <c r="E11" i="5"/>
  <c r="E39" i="5" s="1"/>
  <c r="B14" i="1"/>
  <c r="F60" i="4"/>
  <c r="E41" i="3"/>
  <c r="E49" i="3" s="1"/>
  <c r="C18" i="2" s="1"/>
  <c r="F32" i="4"/>
  <c r="F30" i="5"/>
  <c r="F8" i="5"/>
  <c r="E47" i="4" l="1"/>
  <c r="E49" i="4" s="1"/>
  <c r="H38" i="5"/>
  <c r="D48" i="4"/>
  <c r="C47" i="4"/>
  <c r="C50" i="4" s="1"/>
  <c r="E8" i="3"/>
  <c r="C30" i="2"/>
  <c r="B52" i="1" s="1"/>
  <c r="G69" i="3"/>
  <c r="E10" i="3" s="1"/>
  <c r="E9" i="3"/>
  <c r="C40" i="5"/>
  <c r="F38" i="5"/>
  <c r="C22" i="3"/>
  <c r="E22" i="3" s="1"/>
  <c r="E25" i="3"/>
  <c r="C6" i="3"/>
  <c r="E6" i="3" s="1"/>
  <c r="C25" i="3"/>
  <c r="E40" i="5"/>
  <c r="D39" i="5"/>
  <c r="F11" i="5"/>
  <c r="E50" i="4" l="1"/>
  <c r="C48" i="2"/>
  <c r="C12" i="2"/>
  <c r="E5" i="1" s="1"/>
  <c r="C35" i="1"/>
  <c r="C36" i="1"/>
  <c r="C34" i="1"/>
  <c r="C38" i="1"/>
  <c r="C37" i="1"/>
  <c r="C49" i="4"/>
  <c r="F39" i="5"/>
  <c r="H39" i="5"/>
  <c r="C49" i="2" s="1"/>
  <c r="C50" i="2" s="1"/>
  <c r="D47" i="4"/>
  <c r="D40" i="5"/>
  <c r="F40" i="5" s="1"/>
  <c r="E15" i="3"/>
  <c r="E21" i="3"/>
  <c r="E20" i="3"/>
  <c r="C15" i="2"/>
  <c r="E19" i="3"/>
  <c r="D50" i="4" l="1"/>
  <c r="D49" i="4"/>
  <c r="E26" i="3"/>
  <c r="C16" i="2" s="1"/>
  <c r="C19" i="2"/>
  <c r="B51" i="1" l="1"/>
  <c r="C38" i="2"/>
  <c r="D34" i="1" l="1"/>
  <c r="E34" i="1" s="1"/>
  <c r="F34" i="1" s="1"/>
  <c r="D37" i="1"/>
  <c r="E37" i="1" s="1"/>
  <c r="F37" i="1" s="1"/>
  <c r="D35" i="1"/>
  <c r="E35" i="1" s="1"/>
  <c r="F35" i="1" s="1"/>
  <c r="E8" i="1"/>
  <c r="D38" i="1"/>
  <c r="E38" i="1" s="1"/>
  <c r="F38" i="1" s="1"/>
  <c r="H5" i="1"/>
  <c r="D36" i="1"/>
  <c r="E36" i="1" s="1"/>
  <c r="F36" i="1" s="1"/>
  <c r="C40" i="2"/>
  <c r="K5" i="1" s="1"/>
</calcChain>
</file>

<file path=xl/sharedStrings.xml><?xml version="1.0" encoding="utf-8"?>
<sst xmlns="http://schemas.openxmlformats.org/spreadsheetml/2006/main" count="728" uniqueCount="428">
  <si>
    <t>MILLSTADT EMS DISTRICT — BUDGET PLANNER</t>
  </si>
  <si>
    <t xml:space="preserve">SCENARIO  </t>
  </si>
  <si>
    <t>DISTRICT &amp; REVENUE LEVERS</t>
  </si>
  <si>
    <t>TOTAL PROJECTED REVENUE</t>
  </si>
  <si>
    <t>TOTAL ANNUAL EXPENSES</t>
  </si>
  <si>
    <t>SURPLUS / (SHORTFALL)</t>
  </si>
  <si>
    <t>Proposed District EAV</t>
  </si>
  <si>
    <t>$</t>
  </si>
  <si>
    <t>Levy Rate</t>
  </si>
  <si>
    <t>%</t>
  </si>
  <si>
    <t>Collection Factor</t>
  </si>
  <si>
    <t>BREAK-EVEN LEVY RATE</t>
  </si>
  <si>
    <t>TAX ON REFERENCE HOME / YR</t>
  </si>
  <si>
    <t>TAX / MONTH</t>
  </si>
  <si>
    <t>Annual Call Volume</t>
  </si>
  <si>
    <t>calls / yr</t>
  </si>
  <si>
    <t>Transport Rate</t>
  </si>
  <si>
    <t>% of calls</t>
  </si>
  <si>
    <t>Net Collection per Transport</t>
  </si>
  <si>
    <t>$ / transport</t>
  </si>
  <si>
    <t>Billing Company Fee</t>
  </si>
  <si>
    <t>% of billing revenue</t>
  </si>
  <si>
    <t>STAFFING LEVERS</t>
  </si>
  <si>
    <t>Chiefs</t>
  </si>
  <si>
    <t>→ set on Scenarios tab</t>
  </si>
  <si>
    <t>Chief Salary</t>
  </si>
  <si>
    <t>Office Manager</t>
  </si>
  <si>
    <t>Office Manager Salary</t>
  </si>
  <si>
    <t>Full-Time Paramedics</t>
  </si>
  <si>
    <t>Paramedic Hourly Rate</t>
  </si>
  <si>
    <t>Full-Time EMTs</t>
  </si>
  <si>
    <t>EMT Hourly Rate</t>
  </si>
  <si>
    <t>Regular Hours per Field Employee</t>
  </si>
  <si>
    <t>hrs / yr</t>
  </si>
  <si>
    <t>Scheduled OT Hours</t>
  </si>
  <si>
    <t>Training Hours</t>
  </si>
  <si>
    <t>Unscheduled OT Hours (total)</t>
  </si>
  <si>
    <t>HOMEOWNER REFERENCE</t>
  </si>
  <si>
    <t>Reference Home Market Value</t>
  </si>
  <si>
    <t>Assessment Factor</t>
  </si>
  <si>
    <t>% of market value</t>
  </si>
  <si>
    <t>LEVY RATE SCENARIOS — WHICH RATE PAYS THE BILLS?</t>
  </si>
  <si>
    <t>RATE</t>
  </si>
  <si>
    <t>LEVY REVENUE</t>
  </si>
  <si>
    <t>TOTAL REVENUE</t>
  </si>
  <si>
    <t>ANNUAL EXPENSES</t>
  </si>
  <si>
    <t>RESULT</t>
  </si>
  <si>
    <t>RATE (EDIT)</t>
  </si>
  <si>
    <t>ANNUAL PROPERTY TAX BY HOME VALUE</t>
  </si>
  <si>
    <t>HOME MARKET VALUE</t>
  </si>
  <si>
    <t>EXPENSE MIX (feeds the chart)</t>
  </si>
  <si>
    <t>Personnel</t>
  </si>
  <si>
    <t>Operations</t>
  </si>
  <si>
    <t>Debt Service</t>
  </si>
  <si>
    <t>Past-Due Bills</t>
  </si>
  <si>
    <t>Capital Reserves</t>
  </si>
  <si>
    <t>MILLSTADT EMS DISTRICT — ANNUAL REFERENDUM BUDGET</t>
  </si>
  <si>
    <t>PROJECTED REVENUE</t>
  </si>
  <si>
    <t>Property Tax Levy Revenue</t>
  </si>
  <si>
    <t>EAV × levy rate × collection factor</t>
  </si>
  <si>
    <t>EMS Billing Revenue</t>
  </si>
  <si>
    <t>Calls × transport rate × net collection</t>
  </si>
  <si>
    <t>Current Ambulance-Fund Revenue</t>
  </si>
  <si>
    <t>Interest Income</t>
  </si>
  <si>
    <t>Donations</t>
  </si>
  <si>
    <t>Fundraising</t>
  </si>
  <si>
    <t>Miscellaneous Revenue</t>
  </si>
  <si>
    <t>PERSONNEL</t>
  </si>
  <si>
    <t>Full-Time Payroll</t>
  </si>
  <si>
    <t>Salaries, wages, OT, holiday &amp; training pay</t>
  </si>
  <si>
    <t>Employer Costs</t>
  </si>
  <si>
    <t>FICA, IMRF, unemployment, work comp, uniforms</t>
  </si>
  <si>
    <t>Part-Time Staffing</t>
  </si>
  <si>
    <t>8–10 employee relief pool</t>
  </si>
  <si>
    <t>Employee Benefits</t>
  </si>
  <si>
    <t>Medical, dental, vision, life, disability</t>
  </si>
  <si>
    <t>TOTAL PERSONNEL</t>
  </si>
  <si>
    <t>OPERATIONS</t>
  </si>
  <si>
    <t>Medical Supplies &amp; Patient Care</t>
  </si>
  <si>
    <t>Equipment Maintenance</t>
  </si>
  <si>
    <t>Fleet</t>
  </si>
  <si>
    <t>Facilities &amp; Utilities</t>
  </si>
  <si>
    <t>Communications &amp; Dispatch</t>
  </si>
  <si>
    <t>Professional Services &amp; Billing</t>
  </si>
  <si>
    <t>Technology</t>
  </si>
  <si>
    <t>Administration</t>
  </si>
  <si>
    <t>TOTAL OPERATIONS</t>
  </si>
  <si>
    <t>DEBT &amp; OBLIGATIONS</t>
  </si>
  <si>
    <t>Current loan payments (see ON/OFF per loan)</t>
  </si>
  <si>
    <t>Past-Due Bill Payments</t>
  </si>
  <si>
    <t>Catch-up plan — switched OFF right now</t>
  </si>
  <si>
    <t>Capital Reserves — Startup</t>
  </si>
  <si>
    <t>Future ambulances &amp; equipment</t>
  </si>
  <si>
    <t>TOTAL DEBT &amp; OBLIGATIONS</t>
  </si>
  <si>
    <t>ANNUAL SURPLUS / (SHORTFALL)</t>
  </si>
  <si>
    <t>WHAT IT COSTS A HOMEOWNER</t>
  </si>
  <si>
    <t>That works out per month to</t>
  </si>
  <si>
    <t>TRANSFER DIVISION  (counts only while switched ON on its tab)</t>
  </si>
  <si>
    <t>Transfer Division Revenue</t>
  </si>
  <si>
    <t>Transfer Division Expenses</t>
  </si>
  <si>
    <t>Transfer Net Impact</t>
  </si>
  <si>
    <t>Transfer Runs Added to Service</t>
  </si>
  <si>
    <t>TOTAL ANNUAL RUNS — 911 + TRANSFER</t>
  </si>
  <si>
    <t>MILLSTADT EMS DISTRICT — BUDGET DETAILS</t>
  </si>
  <si>
    <t>Gold cells are editable · green/gray cells are ON/OFF switches (click the cell, then the arrow) · everything rolls up automatically.</t>
  </si>
  <si>
    <t>FULL-TIME PAYROLL</t>
  </si>
  <si>
    <t>ITEM</t>
  </si>
  <si>
    <t>BASIS</t>
  </si>
  <si>
    <t>EMPLOYEES / HOURS</t>
  </si>
  <si>
    <t>ANNUAL COST</t>
  </si>
  <si>
    <t>Chief Salaries</t>
  </si>
  <si>
    <t>Count × salary</t>
  </si>
  <si>
    <t>Full-Time Paramedic Scheduled Wages</t>
  </si>
  <si>
    <t>Regular + scheduled OT @ 1.5×</t>
  </si>
  <si>
    <t>Full-Time EMT Scheduled Wages</t>
  </si>
  <si>
    <t>Holiday Pay</t>
  </si>
  <si>
    <t>TOTAL HOLIDAY PAY from the table below</t>
  </si>
  <si>
    <t>Birthday Bonuses</t>
  </si>
  <si>
    <t>Birthday Bonus row in the table below</t>
  </si>
  <si>
    <t>Unscheduled Overtime</t>
  </si>
  <si>
    <t>Hours × paramedic rate × 1.5</t>
  </si>
  <si>
    <t>Paramedic Training Pay</t>
  </si>
  <si>
    <t>Medics × training hrs × rate</t>
  </si>
  <si>
    <t>EMT Training Pay</t>
  </si>
  <si>
    <t>EMTs × training hrs × rate</t>
  </si>
  <si>
    <t>TOTAL FULL-TIME PAYROLL</t>
  </si>
  <si>
    <t>EMPLOYER COSTS</t>
  </si>
  <si>
    <t>BASIS / WAGE BASE</t>
  </si>
  <si>
    <t>EMPLOYEES</t>
  </si>
  <si>
    <t>Social Security</t>
  </si>
  <si>
    <t>% of payroll</t>
  </si>
  <si>
    <t>Medicare</t>
  </si>
  <si>
    <t>IMRF</t>
  </si>
  <si>
    <t>Illinois Unemployment</t>
  </si>
  <si>
    <t>Workers' Compensation</t>
  </si>
  <si>
    <t>Annual premium</t>
  </si>
  <si>
    <t>Payroll Processing</t>
  </si>
  <si>
    <t>Annual</t>
  </si>
  <si>
    <t>Uniform Allowances</t>
  </si>
  <si>
    <t>TOTAL EMPLOYER COSTS</t>
  </si>
  <si>
    <t>PART-TIME STAFFING — RELIEF POOL</t>
  </si>
  <si>
    <t>NOTE</t>
  </si>
  <si>
    <t>Base Part-Time Wages</t>
  </si>
  <si>
    <t>Relief / Scheduling Reserve</t>
  </si>
  <si>
    <t>Employer FICA &amp; Medicare</t>
  </si>
  <si>
    <t>Unemployment &amp; Payroll Contingency</t>
  </si>
  <si>
    <t>Training, Credentialing &amp; Meetings</t>
  </si>
  <si>
    <t>Uniforms &amp; Onboarding</t>
  </si>
  <si>
    <t>Vacancy / Call-Back Reserve</t>
  </si>
  <si>
    <t>TOTAL PART-TIME STAFFING</t>
  </si>
  <si>
    <t>EMPLOYEE BENEFITS — FULL-TIME</t>
  </si>
  <si>
    <t>POLICY</t>
  </si>
  <si>
    <t>Medical Insurance</t>
  </si>
  <si>
    <t>Dental Insurance</t>
  </si>
  <si>
    <t>Vision Insurance</t>
  </si>
  <si>
    <t>Life &amp; AD&amp;D</t>
  </si>
  <si>
    <t>Short- and Long-Term Disability</t>
  </si>
  <si>
    <t>Employee Assistance / Behavioral Health</t>
  </si>
  <si>
    <t>COBRA &amp; Benefits Administration</t>
  </si>
  <si>
    <t>Renewal &amp; Enrollment Contingency</t>
  </si>
  <si>
    <t>TOTAL EMPLOYEE BENEFITS</t>
  </si>
  <si>
    <t>HOLIDAY PAY &amp; BIRTHDAY BONUS</t>
  </si>
  <si>
    <t>MASTER  ▶</t>
  </si>
  <si>
    <t>ON</t>
  </si>
  <si>
    <t>HOLIDAY / EVENT</t>
  </si>
  <si>
    <t>ON / OFF</t>
  </si>
  <si>
    <t>DAYS</t>
  </si>
  <si>
    <t>CREW WORKING</t>
  </si>
  <si>
    <t>HOURS / DAY</t>
  </si>
  <si>
    <t>EXTRA PAY / HR</t>
  </si>
  <si>
    <t>New Year's Day</t>
  </si>
  <si>
    <t>Good Friday</t>
  </si>
  <si>
    <t>Easter</t>
  </si>
  <si>
    <t>Memorial Day</t>
  </si>
  <si>
    <t>Juneteenth</t>
  </si>
  <si>
    <t>Independence Day</t>
  </si>
  <si>
    <t>Labor Day</t>
  </si>
  <si>
    <t>Day Before Thanksgiving</t>
  </si>
  <si>
    <t>Thanksgiving Day</t>
  </si>
  <si>
    <t>Black Friday</t>
  </si>
  <si>
    <t>Christmas Eve</t>
  </si>
  <si>
    <t>Christmas Day</t>
  </si>
  <si>
    <t>Firemen's Picnic — Friday</t>
  </si>
  <si>
    <t>Firemen's Picnic — Saturday</t>
  </si>
  <si>
    <t>Homecoming — Saturday</t>
  </si>
  <si>
    <t>Homecoming — Sunday</t>
  </si>
  <si>
    <t>TOTAL HOLIDAY PAY  →  feeds the Holiday Pay line above</t>
  </si>
  <si>
    <t>Birthday Bonus (per employee, from Scenarios)</t>
  </si>
  <si>
    <t>employees</t>
  </si>
  <si>
    <t>Holiday pay = days × crew × hours × extra $/hr for every holiday switched ON (paramedic crew = worst case). The MASTER switch top-right shuts all of it off; extra $/hr comes from the scenario.</t>
  </si>
  <si>
    <t>OPERATING NEEDS — LINE ITEMS  (budgeted = cost × the active scenario's % for that line)</t>
  </si>
  <si>
    <t>CATEGORY</t>
  </si>
  <si>
    <t>LINE ITEM</t>
  </si>
  <si>
    <t>BARE %</t>
  </si>
  <si>
    <t>AVERAGE %</t>
  </si>
  <si>
    <t>IDEAL %</t>
  </si>
  <si>
    <t>BUDGETED COST</t>
  </si>
  <si>
    <t>NOTES</t>
  </si>
  <si>
    <t>BASE</t>
  </si>
  <si>
    <t>Henry Schein — medical supplies</t>
  </si>
  <si>
    <t>not ideal but cut on minumum/average, may drop Standard of Care</t>
  </si>
  <si>
    <t>Bound Tree — medical supplies</t>
  </si>
  <si>
    <t>not ideal but cut on minumum/average/may drop standard of care</t>
  </si>
  <si>
    <t>Med Alliance — Butterfly consumables</t>
  </si>
  <si>
    <t>not ideal but cut on minumum</t>
  </si>
  <si>
    <t>TEMSNet — cervical collars</t>
  </si>
  <si>
    <t>Cut/go back to cheaper collars</t>
  </si>
  <si>
    <t>Hamilton — ventilator circuits</t>
  </si>
  <si>
    <t>Cut but may drop standard of care</t>
  </si>
  <si>
    <t>Master Medical — Sapphire pump tubing</t>
  </si>
  <si>
    <t>Zoll — pads and ECG electrodes</t>
  </si>
  <si>
    <t>Buy the cheaper pad (not ideal)</t>
  </si>
  <si>
    <t>Oxygen</t>
  </si>
  <si>
    <t>not ideal but cut on minumum/average</t>
  </si>
  <si>
    <t>Hazardous waste</t>
  </si>
  <si>
    <t>Mandatory</t>
  </si>
  <si>
    <t>Generator preventive maintenance</t>
  </si>
  <si>
    <t>Zoll X Series service — 2 monitors</t>
  </si>
  <si>
    <t>Hamilton T1 service — 2 ventilators</t>
  </si>
  <si>
    <t>Fuel — WEX</t>
  </si>
  <si>
    <t>Truck repairs — Unit 3925</t>
  </si>
  <si>
    <t>Truck repairs — Unit 3926</t>
  </si>
  <si>
    <t>Truck repairs — Unit 3935</t>
  </si>
  <si>
    <t>Property / auto / liability insurance</t>
  </si>
  <si>
    <t>Building repairs and maintenance</t>
  </si>
  <si>
    <t>Asphalt sealing</t>
  </si>
  <si>
    <t>Cut with minumum/average</t>
  </si>
  <si>
    <t>Grass mowing</t>
  </si>
  <si>
    <t>Ameren</t>
  </si>
  <si>
    <t>Village utilities</t>
  </si>
  <si>
    <t>Culligan</t>
  </si>
  <si>
    <t>Cut with minumum</t>
  </si>
  <si>
    <t>CENCOM dispatching</t>
  </si>
  <si>
    <t>Wireless USA</t>
  </si>
  <si>
    <t>Charter / Spectrum</t>
  </si>
  <si>
    <t>Verizon</t>
  </si>
  <si>
    <t>Barcom</t>
  </si>
  <si>
    <t>Accounting — annual engagement</t>
  </si>
  <si>
    <t>Legal and social-media archive</t>
  </si>
  <si>
    <t xml:space="preserve">This should be cut on all, I don’t think its even set up </t>
  </si>
  <si>
    <t>Billing vendors</t>
  </si>
  <si>
    <t>Auto: billing fee % × billing revenue (911 billing only)</t>
  </si>
  <si>
    <t>Can discontinue once Mediclaims is closed out</t>
  </si>
  <si>
    <t>Adobe Pro + Express</t>
  </si>
  <si>
    <t>Sage</t>
  </si>
  <si>
    <t>Life360</t>
  </si>
  <si>
    <t>Microsoft Office Suite</t>
  </si>
  <si>
    <t>Amazon Business</t>
  </si>
  <si>
    <t>Lexipol</t>
  </si>
  <si>
    <t>PM Cardio</t>
  </si>
  <si>
    <t>WhenToWork</t>
  </si>
  <si>
    <t>HP Instant Ink</t>
  </si>
  <si>
    <t>Included in office supplies</t>
  </si>
  <si>
    <t>Office supplies</t>
  </si>
  <si>
    <t>TOTAL OPERATING NEEDS</t>
  </si>
  <si>
    <t>DEBT — CURRENT LOAN PAYMENTS</t>
  </si>
  <si>
    <t>OBLIGATION</t>
  </si>
  <si>
    <t>CURRENT BALANCE</t>
  </si>
  <si>
    <t>INTEREST RATE</t>
  </si>
  <si>
    <t>FREQUENCY</t>
  </si>
  <si>
    <t>SCHEDULED PAYMENT</t>
  </si>
  <si>
    <t>PAYMENTS / YR</t>
  </si>
  <si>
    <t>ANNUAL PAYMENT</t>
  </si>
  <si>
    <t>First National Bank — mortgage</t>
  </si>
  <si>
    <t>Monthly</t>
  </si>
  <si>
    <t>Ambulance loan — Unit 3935</t>
  </si>
  <si>
    <t>Stryker Loan 1</t>
  </si>
  <si>
    <t>Stryker Loan 2</t>
  </si>
  <si>
    <t>Zoll monitor loan</t>
  </si>
  <si>
    <t>OFF</t>
  </si>
  <si>
    <t>Should be paid off by district start — flip ON if it isn't</t>
  </si>
  <si>
    <t>Credit card</t>
  </si>
  <si>
    <t>Monthly minimum</t>
  </si>
  <si>
    <t>TOTAL ANNUAL DEBT SERVICE</t>
  </si>
  <si>
    <t>PAYABLE</t>
  </si>
  <si>
    <t>BALANCE</t>
  </si>
  <si>
    <t>CATCH-UP YEARS</t>
  </si>
  <si>
    <t>Accounting arrears</t>
  </si>
  <si>
    <t>EMSMC account catch-up</t>
  </si>
  <si>
    <t>Mediclaims unpaid invoice</t>
  </si>
  <si>
    <t>TOTAL ANNUAL PAST-DUE PAYMENTS</t>
  </si>
  <si>
    <t>CAPITAL RESERVES — FUTURE NEEDS (all OFF for the startup budget)</t>
  </si>
  <si>
    <t>CAPITAL ITEM</t>
  </si>
  <si>
    <t>QTY</t>
  </si>
  <si>
    <t>UNIT COST</t>
  </si>
  <si>
    <t>TOTAL COST</t>
  </si>
  <si>
    <t>YEARS TO FUND</t>
  </si>
  <si>
    <t>FUNDING %</t>
  </si>
  <si>
    <t>ANNUAL RESERVE</t>
  </si>
  <si>
    <t>Future EMS Station</t>
  </si>
  <si>
    <t>Ambulance replacement reserve</t>
  </si>
  <si>
    <t>Hamilton T1 ventilators</t>
  </si>
  <si>
    <t>Zoll X Series monitors</t>
  </si>
  <si>
    <t>Stryker Power-PRO stretcher</t>
  </si>
  <si>
    <t>Stryker Power-LOAD</t>
  </si>
  <si>
    <t>LUCAS devices</t>
  </si>
  <si>
    <t>Stair chair</t>
  </si>
  <si>
    <t>Butterfly ultrasound</t>
  </si>
  <si>
    <t>Sapphire infusion pumps</t>
  </si>
  <si>
    <t>Portable / mobile radios</t>
  </si>
  <si>
    <t>Toughbooks / laptops</t>
  </si>
  <si>
    <t>TOTAL ANNUAL CAPITAL RESERVE</t>
  </si>
  <si>
    <t>SCENARIO SETTINGS — BARE MINIMUM  /  AVERAGE  /  IDEAL</t>
  </si>
  <si>
    <t>All three columns are GOLD — fill them out however you want. The Dashboard dropdown picks which column the live budget uses; the ACTIVE column shows what's in play right now.</t>
  </si>
  <si>
    <t>ACTIVE SCENARIO</t>
  </si>
  <si>
    <t>AVERAGE</t>
  </si>
  <si>
    <t>◀ pick it HERE — the whole workbook flips (Dashboard mirrors this)</t>
  </si>
  <si>
    <t>LEVER</t>
  </si>
  <si>
    <t>UNIT</t>
  </si>
  <si>
    <t>BARE MINIMUM</t>
  </si>
  <si>
    <t>IDEAL</t>
  </si>
  <si>
    <t>ACTIVE (IN USE)</t>
  </si>
  <si>
    <t>FULL-TIME WAGES</t>
  </si>
  <si>
    <t>$ / yr</t>
  </si>
  <si>
    <t>$ / hr</t>
  </si>
  <si>
    <t>PART-TIME STAFFING</t>
  </si>
  <si>
    <t>Auto-calculates: 7.65% of PT wages above — no need to touch</t>
  </si>
  <si>
    <t>PART-TIME TOTAL</t>
  </si>
  <si>
    <t>EMPLOYEE BENEFITS</t>
  </si>
  <si>
    <t>BENEFITS TOTAL</t>
  </si>
  <si>
    <t>HOLIDAY &amp; BIRTHDAY</t>
  </si>
  <si>
    <t>Holiday Extra Pay per Hour</t>
  </si>
  <si>
    <t>Birthday Bonus per Employee</t>
  </si>
  <si>
    <t>$ / employee</t>
  </si>
  <si>
    <t>SIDE-BY-SIDE — WHAT EACH SCENARIO DOES TO THE BUDGET (live)</t>
  </si>
  <si>
    <t>Operations (at scenario line %)</t>
  </si>
  <si>
    <t>Debt &amp; Obligations (same in all)</t>
  </si>
  <si>
    <t>Total Projected Revenue</t>
  </si>
  <si>
    <t>Break-Even Levy Rate</t>
  </si>
  <si>
    <t>Line-by-line cost cutting (cell phones, truck repairs, subscriptions…) lives on the DETAILS tab — every operating line has its own BARE % / AVERAGE % / IDEAL % columns.</t>
  </si>
  <si>
    <t>STAFFING HEADCOUNT — how many people each scenario hires</t>
  </si>
  <si>
    <t>POSITION</t>
  </si>
  <si>
    <t>TOTAL FULL-TIME HEADCOUNT</t>
  </si>
  <si>
    <t>WHAT EACH POSITION MAKES PER YEAR — 48/96 SCHEDULE</t>
  </si>
  <si>
    <t>Full-Time Paramedic</t>
  </si>
  <si>
    <t>$ / yr gross</t>
  </si>
  <si>
    <t>Full-Time EMT</t>
  </si>
  <si>
    <t>Math: hourly rate × 3,328 hrs (2,080 regular + 832 OT @ 1.5x). Gross before taxes; excludes holiday pay, unscheduled OT, training.</t>
  </si>
  <si>
    <t>TRANSFER DIVISION — ALL PART-TIME</t>
  </si>
  <si>
    <t>Pick a FLEET CONFIGURATION below — crews, wages and reimbursement all follow it. Only one configuration can be active. Nothing counts in the budget until the switch is ON.</t>
  </si>
  <si>
    <t>INCLUDE TRANSFER DIVISION IN BUDGET</t>
  </si>
  <si>
    <t>FLEET CONFIGURATION  ▶</t>
  </si>
  <si>
    <t>1 Critical Care + 1 BLS</t>
  </si>
  <si>
    <t>◀ pick ONE — crews &amp; reimbursement in the table at the bottom</t>
  </si>
  <si>
    <t>NOTES / SERVICE IMPACT</t>
  </si>
  <si>
    <t>TRANSFER REVENUE</t>
  </si>
  <si>
    <t>Transfer Runs per Year (your estimate)</t>
  </si>
  <si>
    <t>runs / yr</t>
  </si>
  <si>
    <t>Net Collection per Transfer</t>
  </si>
  <si>
    <t>$ / run</t>
  </si>
  <si>
    <t>Comes from the configuration table below — ALS/CC configs reimburse higher</t>
  </si>
  <si>
    <t>% of transfer billing</t>
  </si>
  <si>
    <t>Transfer Billing Revenue</t>
  </si>
  <si>
    <t>Billing Company Cost</t>
  </si>
  <si>
    <t>TRANSFER STAFFING — ALL PART-TIME · crew set by the configuration (2 trucks)</t>
  </si>
  <si>
    <t>Hours per Truck per Day</t>
  </si>
  <si>
    <t>hrs / day</t>
  </si>
  <si>
    <t>Days per Week</t>
  </si>
  <si>
    <t>days / wk</t>
  </si>
  <si>
    <t>Annual Hours per Truck</t>
  </si>
  <si>
    <t>Part-Time EMT Rate</t>
  </si>
  <si>
    <t>Part-Time Paramedic Rate</t>
  </si>
  <si>
    <t>Critical Care Provider Rate</t>
  </si>
  <si>
    <t>PLACEHOLDER — set what you'd actually pay a critical care provider</t>
  </si>
  <si>
    <t>Crew Wages (whole fleet)</t>
  </si>
  <si>
    <t>Per-truck hours × everyone on duty in the chosen configuration</t>
  </si>
  <si>
    <t>Overtime Allowance</t>
  </si>
  <si>
    <t>Transfer PT Pool Size</t>
  </si>
  <si>
    <t>Uniform Allowances ($300 each)</t>
  </si>
  <si>
    <t>TRANSFER OPERATING — fuel &amp; supplies scale with the run count</t>
  </si>
  <si>
    <t>Truck Payment / Replacement Reserve</t>
  </si>
  <si>
    <t>Vehicle Maintenance (annual)</t>
  </si>
  <si>
    <t>Fuel Cost per Run</t>
  </si>
  <si>
    <t>Set PER CONFIGURATION in the fleet table below (CC hauls often go further)</t>
  </si>
  <si>
    <t>Fuel (runs × cost per run)</t>
  </si>
  <si>
    <t>Medical Supplies per Run</t>
  </si>
  <si>
    <t>Set PER CONFIGURATION in the fleet table below — CC runs burn more supplies than BLS</t>
  </si>
  <si>
    <t>Medical Supplies (runs × cost per run)</t>
  </si>
  <si>
    <t>Insurance</t>
  </si>
  <si>
    <t>Already covered by the $21,100 policy on Details — only enter a premium INCREASE</t>
  </si>
  <si>
    <t>Other Transfer Cost 1 (rename me)</t>
  </si>
  <si>
    <t>Other Transfer Cost 2 (rename me)</t>
  </si>
  <si>
    <t>Other Transfer Cost 3 (rename me)</t>
  </si>
  <si>
    <t>SELECTED CONFIGURATION</t>
  </si>
  <si>
    <t>SUMMARY</t>
  </si>
  <si>
    <t>TOTAL TRANSFER REVENUE</t>
  </si>
  <si>
    <t>TOTAL TRANSFER EXPENSES</t>
  </si>
  <si>
    <t>NET IMPACT ON BUDGET</t>
  </si>
  <si>
    <t>Counted in the Budget, KPIs and comparisons ONLY while the switch above is ON.</t>
  </si>
  <si>
    <t>FLEET CONFIGURATIONS &amp; REIMBURSEMENT — one row per setup; edit the $ / run for each</t>
  </si>
  <si>
    <t>CONFIGURATION</t>
  </si>
  <si>
    <t>CREW ON DUTY (both trucks)</t>
  </si>
  <si>
    <t>NET COLLECTION / RUN</t>
  </si>
  <si>
    <t>SUPPLIES / RUN</t>
  </si>
  <si>
    <t>FUEL / RUN</t>
  </si>
  <si>
    <t>2 ALS Trucks</t>
  </si>
  <si>
    <t>1 medic + 1 EMT on each truck (4 on duty)</t>
  </si>
  <si>
    <t>2 BLS Trucks</t>
  </si>
  <si>
    <t>2 EMTs on each truck (4 on duty)</t>
  </si>
  <si>
    <t>PLACEHOLDER $ — BLS reimburses less</t>
  </si>
  <si>
    <t>1 ALS + 1 BLS</t>
  </si>
  <si>
    <t>ALS: medic + EMT · BLS: 2 EMTs</t>
  </si>
  <si>
    <t>PLACEHOLDER $ — blended rate</t>
  </si>
  <si>
    <t>2 Critical Care Trucks</t>
  </si>
  <si>
    <t>1 CC provider + 1 medic on each truck</t>
  </si>
  <si>
    <t>PLACEHOLDER $ — CC reimburses highest</t>
  </si>
  <si>
    <t>CC: CC + medic · BLS: 2 EMTs</t>
  </si>
  <si>
    <t>CONFIGURATION COMPARISON — LIVE · updates the moment you type in ANY column</t>
  </si>
  <si>
    <t>METRIC</t>
  </si>
  <si>
    <t>NET IMPACT / yr</t>
  </si>
  <si>
    <t>TOTAL EXPENSES — by scenario</t>
  </si>
  <si>
    <t>EXPENSES / yr</t>
  </si>
  <si>
    <t>Blue row = configuration feeding the budget. Collection, supplies AND fuel are per-configuration (fleet table above) — every cell computes from its own column, live.</t>
  </si>
  <si>
    <t>CHANGE LOG — write down every change you make</t>
  </si>
  <si>
    <t>Manual log — Excel alone cannot track users automatically or restrict deletes to one person. For automatic, undeletable per-user history: store this file on OneDrive/SharePoint (owner: Kenneth.James@millstadtems.org) and use File → Info → Version History and Review → Show Changes.</t>
  </si>
  <si>
    <t>DATE</t>
  </si>
  <si>
    <t>WHO</t>
  </si>
  <si>
    <t>TAB</t>
  </si>
  <si>
    <t>WHAT CHANGED</t>
  </si>
  <si>
    <t>OLD → NEW</t>
  </si>
  <si>
    <t>WHY</t>
  </si>
  <si>
    <t>1500/yr chiefs 1000/yr employees</t>
  </si>
  <si>
    <t>Administrative Manager allowance</t>
  </si>
  <si>
    <t>1000.00 monthly spending allowance (not fully used,only on assistance subs)</t>
  </si>
  <si>
    <t>PAST-DUE BILLS — CATCH-UP PLAN (Pay this off prior to District formation) Turn on if not</t>
  </si>
  <si>
    <t xml:space="preserve">Paya / card processing </t>
  </si>
  <si>
    <t>Cut out services from verizon (delete cell phones from truck, not ideal)</t>
  </si>
  <si>
    <t xml:space="preserve">This is a low budget and not ideal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</si>
</sst>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%"/>
  </numFmts>
  <fonts count="44" x14ac:knownFonts="1">
    <font>
      <sz val="11"/>
      <color theme="1"/>
      <name val="Calibri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12"/>
      <name val="Arial"/>
      <family val="2"/>
    </font>
    <font>
      <i/>
      <sz val="10"/>
      <color rgb="FF606060"/>
      <name val="Arial"/>
      <family val="2"/>
    </font>
    <font>
      <b/>
      <sz val="11"/>
      <color rgb="FFFFFFFF"/>
      <name val="Arial"/>
      <family val="2"/>
    </font>
    <font>
      <b/>
      <sz val="8"/>
      <color rgb="FF60606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9"/>
      <color rgb="FF808080"/>
      <name val="Arial"/>
      <family val="2"/>
    </font>
    <font>
      <b/>
      <sz val="15"/>
      <color rgb="FF1F3864"/>
      <name val="Arial"/>
      <family val="2"/>
    </font>
    <font>
      <i/>
      <sz val="8"/>
      <color rgb="FF808080"/>
      <name val="Arial"/>
      <family val="2"/>
    </font>
    <font>
      <b/>
      <sz val="10"/>
      <color rgb="FF1E7B34"/>
      <name val="Arial"/>
      <family val="2"/>
    </font>
    <font>
      <b/>
      <sz val="8"/>
      <color rgb="FF1E7B34"/>
      <name val="Arial"/>
      <family val="2"/>
    </font>
    <font>
      <b/>
      <sz val="9"/>
      <color rgb="FF1F3864"/>
      <name val="Arial"/>
      <family val="2"/>
    </font>
    <font>
      <i/>
      <sz val="8"/>
      <color rgb="FF808080"/>
      <name val="Arial"/>
      <family val="2"/>
    </font>
    <font>
      <b/>
      <sz val="10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7F7F7F"/>
      <name val="Arial"/>
      <family val="2"/>
    </font>
    <font>
      <b/>
      <sz val="9"/>
      <color rgb="FF9C0006"/>
      <name val="Arial"/>
      <family val="2"/>
    </font>
    <font>
      <b/>
      <sz val="9"/>
      <color rgb="FF7F6000"/>
      <name val="Arial"/>
      <family val="2"/>
    </font>
    <font>
      <b/>
      <sz val="9"/>
      <color rgb="FF276221"/>
      <name val="Arial"/>
      <family val="2"/>
    </font>
    <font>
      <sz val="8"/>
      <color rgb="FFB0B0B0"/>
      <name val="Arial"/>
      <family val="2"/>
    </font>
    <font>
      <b/>
      <sz val="10"/>
      <color rgb="FF276221"/>
      <name val="Arial"/>
      <family val="2"/>
    </font>
    <font>
      <sz val="7"/>
      <color rgb="FFC0C0C0"/>
      <name val="Arial"/>
      <family val="2"/>
    </font>
    <font>
      <b/>
      <sz val="11"/>
      <color rgb="FF1F3864"/>
      <name val="Arial"/>
      <family val="2"/>
    </font>
    <font>
      <b/>
      <sz val="12"/>
      <name val="Arial"/>
      <family val="2"/>
    </font>
    <font>
      <sz val="9"/>
      <color rgb="FF5A5A5A"/>
      <name val="Arial"/>
      <family val="2"/>
    </font>
    <font>
      <sz val="9"/>
      <color rgb="FF808080"/>
      <name val="Arial"/>
      <family val="2"/>
    </font>
    <font>
      <b/>
      <sz val="10"/>
      <color rgb="FF1E7B34"/>
      <name val="Arial"/>
      <family val="2"/>
    </font>
    <font>
      <sz val="9"/>
      <color rgb="FF5A5A5A"/>
      <name val="Arial"/>
      <family val="2"/>
    </font>
    <font>
      <b/>
      <sz val="11"/>
      <name val="Arial"/>
      <family val="2"/>
    </font>
    <font>
      <b/>
      <sz val="9"/>
      <color rgb="FF1F3864"/>
      <name val="Arial"/>
      <family val="2"/>
    </font>
    <font>
      <b/>
      <sz val="16"/>
      <color rgb="FFFFFFFF"/>
      <name val="Arial"/>
      <family val="2"/>
    </font>
    <font>
      <i/>
      <sz val="10"/>
      <color rgb="FF606060"/>
      <name val="Arial"/>
      <family val="2"/>
    </font>
    <font>
      <b/>
      <sz val="11"/>
      <color rgb="FF1F3864"/>
      <name val="Arial"/>
      <family val="2"/>
    </font>
    <font>
      <b/>
      <sz val="12"/>
      <color rgb="FF7F7F7F"/>
      <name val="Arial"/>
      <family val="2"/>
    </font>
    <font>
      <b/>
      <sz val="12"/>
      <color rgb="FF1F4E79"/>
      <name val="Arial"/>
      <family val="2"/>
    </font>
    <font>
      <sz val="7"/>
      <color rgb="FFC0C0C0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sz val="8"/>
      <color rgb="FF808080"/>
      <name val="Arial"/>
      <family val="2"/>
    </font>
    <font>
      <b/>
      <sz val="16"/>
      <color rgb="FFD9E2F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7FB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EEF2F9"/>
      </patternFill>
    </fill>
    <fill>
      <patternFill patternType="solid">
        <fgColor rgb="FFE7E6E6"/>
      </patternFill>
    </fill>
    <fill>
      <patternFill patternType="solid">
        <fgColor rgb="FFFDF6E3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C9A227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9AA7BD"/>
      </left>
      <right style="thin">
        <color rgb="FF9AA7BD"/>
      </right>
      <top style="thick">
        <color rgb="FFC9A227"/>
      </top>
      <bottom style="thin">
        <color rgb="FF9AA7BD"/>
      </bottom>
      <diagonal/>
    </border>
    <border>
      <left style="thin">
        <color rgb="FF9AA7BD"/>
      </left>
      <right style="thin">
        <color rgb="FF9AA7BD"/>
      </right>
      <top style="thin">
        <color rgb="FF9AA7BD"/>
      </top>
      <bottom style="thin">
        <color rgb="FF9AA7BD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9AA7BD"/>
      </left>
      <right style="thin">
        <color rgb="FF9AA7BD"/>
      </right>
      <top style="double">
        <color rgb="FF1F3864"/>
      </top>
      <bottom style="thin">
        <color rgb="FF9AA7BD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1" fillId="0" borderId="0" xfId="0" applyFont="1"/>
    <xf numFmtId="0" fontId="0" fillId="2" borderId="1" xfId="0" applyFill="1" applyBorder="1"/>
    <xf numFmtId="0" fontId="4" fillId="0" borderId="0" xfId="0" applyFont="1"/>
    <xf numFmtId="0" fontId="7" fillId="0" borderId="4" xfId="0" applyFont="1" applyBorder="1"/>
    <xf numFmtId="164" fontId="8" fillId="4" borderId="5" xfId="0" applyNumberFormat="1" applyFont="1" applyFill="1" applyBorder="1"/>
    <xf numFmtId="0" fontId="9" fillId="0" borderId="4" xfId="0" applyFont="1" applyBorder="1"/>
    <xf numFmtId="10" fontId="8" fillId="4" borderId="5" xfId="0" applyNumberFormat="1" applyFont="1" applyFill="1" applyBorder="1"/>
    <xf numFmtId="9" fontId="8" fillId="4" borderId="5" xfId="0" applyNumberFormat="1" applyFont="1" applyFill="1" applyBorder="1"/>
    <xf numFmtId="0" fontId="8" fillId="4" borderId="5" xfId="0" applyFont="1" applyFill="1" applyBorder="1"/>
    <xf numFmtId="166" fontId="8" fillId="4" borderId="5" xfId="0" applyNumberFormat="1" applyFont="1" applyFill="1" applyBorder="1"/>
    <xf numFmtId="1" fontId="12" fillId="0" borderId="4" xfId="0" applyNumberFormat="1" applyFont="1" applyBorder="1"/>
    <xf numFmtId="0" fontId="13" fillId="0" borderId="4" xfId="0" applyFont="1" applyBorder="1"/>
    <xf numFmtId="164" fontId="12" fillId="0" borderId="4" xfId="0" applyNumberFormat="1" applyFont="1" applyBorder="1"/>
    <xf numFmtId="165" fontId="12" fillId="0" borderId="4" xfId="0" applyNumberFormat="1" applyFont="1" applyBorder="1"/>
    <xf numFmtId="0" fontId="14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/>
    <xf numFmtId="0" fontId="7" fillId="6" borderId="4" xfId="0" applyFont="1" applyFill="1" applyBorder="1" applyAlignment="1">
      <alignment horizontal="center"/>
    </xf>
    <xf numFmtId="164" fontId="7" fillId="6" borderId="4" xfId="0" applyNumberFormat="1" applyFont="1" applyFill="1" applyBorder="1"/>
    <xf numFmtId="0" fontId="14" fillId="5" borderId="4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0" fontId="7" fillId="6" borderId="4" xfId="0" applyFont="1" applyFill="1" applyBorder="1"/>
    <xf numFmtId="0" fontId="16" fillId="5" borderId="6" xfId="0" applyFont="1" applyFill="1" applyBorder="1"/>
    <xf numFmtId="164" fontId="16" fillId="5" borderId="6" xfId="0" applyNumberFormat="1" applyFont="1" applyFill="1" applyBorder="1"/>
    <xf numFmtId="0" fontId="0" fillId="0" borderId="4" xfId="0" applyBorder="1"/>
    <xf numFmtId="0" fontId="0" fillId="6" borderId="4" xfId="0" applyFill="1" applyBorder="1"/>
    <xf numFmtId="164" fontId="0" fillId="0" borderId="0" xfId="0" applyNumberFormat="1"/>
    <xf numFmtId="0" fontId="5" fillId="2" borderId="6" xfId="0" applyFont="1" applyFill="1" applyBorder="1"/>
    <xf numFmtId="164" fontId="5" fillId="2" borderId="6" xfId="0" applyNumberFormat="1" applyFont="1" applyFill="1" applyBorder="1"/>
    <xf numFmtId="0" fontId="3" fillId="0" borderId="6" xfId="0" applyFont="1" applyBorder="1"/>
    <xf numFmtId="164" fontId="3" fillId="0" borderId="6" xfId="0" applyNumberFormat="1" applyFont="1" applyBorder="1"/>
    <xf numFmtId="165" fontId="7" fillId="6" borderId="4" xfId="0" applyNumberFormat="1" applyFont="1" applyFill="1" applyBorder="1"/>
    <xf numFmtId="164" fontId="0" fillId="0" borderId="4" xfId="0" applyNumberFormat="1" applyBorder="1"/>
    <xf numFmtId="3" fontId="0" fillId="0" borderId="4" xfId="0" applyNumberFormat="1" applyBorder="1"/>
    <xf numFmtId="0" fontId="18" fillId="5" borderId="4" xfId="0" applyFont="1" applyFill="1" applyBorder="1"/>
    <xf numFmtId="0" fontId="0" fillId="5" borderId="4" xfId="0" applyFill="1" applyBorder="1"/>
    <xf numFmtId="3" fontId="18" fillId="5" borderId="4" xfId="0" applyNumberFormat="1" applyFont="1" applyFill="1" applyBorder="1"/>
    <xf numFmtId="1" fontId="7" fillId="0" borderId="4" xfId="0" applyNumberFormat="1" applyFont="1" applyBorder="1"/>
    <xf numFmtId="1" fontId="7" fillId="6" borderId="4" xfId="0" applyNumberFormat="1" applyFont="1" applyFill="1" applyBorder="1"/>
    <xf numFmtId="165" fontId="7" fillId="0" borderId="4" xfId="0" applyNumberFormat="1" applyFont="1" applyBorder="1"/>
    <xf numFmtId="164" fontId="12" fillId="6" borderId="4" xfId="0" applyNumberFormat="1" applyFont="1" applyFill="1" applyBorder="1"/>
    <xf numFmtId="0" fontId="5" fillId="2" borderId="1" xfId="0" applyFont="1" applyFill="1" applyBorder="1" applyAlignment="1">
      <alignment horizontal="right" vertical="center"/>
    </xf>
    <xf numFmtId="0" fontId="19" fillId="7" borderId="4" xfId="0" applyFont="1" applyFill="1" applyBorder="1" applyAlignment="1">
      <alignment horizontal="center" vertical="center"/>
    </xf>
    <xf numFmtId="165" fontId="12" fillId="6" borderId="4" xfId="0" applyNumberFormat="1" applyFont="1" applyFill="1" applyBorder="1"/>
    <xf numFmtId="0" fontId="20" fillId="5" borderId="4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165" fontId="8" fillId="4" borderId="5" xfId="0" applyNumberFormat="1" applyFont="1" applyFill="1" applyBorder="1"/>
    <xf numFmtId="9" fontId="8" fillId="4" borderId="5" xfId="0" applyNumberFormat="1" applyFont="1" applyFill="1" applyBorder="1" applyAlignment="1">
      <alignment horizontal="center"/>
    </xf>
    <xf numFmtId="0" fontId="15" fillId="0" borderId="4" xfId="0" applyFont="1" applyBorder="1" applyAlignment="1">
      <alignment vertical="center" wrapText="1"/>
    </xf>
    <xf numFmtId="165" fontId="23" fillId="0" borderId="4" xfId="0" applyNumberFormat="1" applyFont="1" applyBorder="1"/>
    <xf numFmtId="0" fontId="15" fillId="6" borderId="4" xfId="0" applyFont="1" applyFill="1" applyBorder="1" applyAlignment="1">
      <alignment vertical="center" wrapText="1"/>
    </xf>
    <xf numFmtId="165" fontId="23" fillId="6" borderId="4" xfId="0" applyNumberFormat="1" applyFont="1" applyFill="1" applyBorder="1"/>
    <xf numFmtId="0" fontId="15" fillId="0" borderId="4" xfId="0" applyFont="1" applyBorder="1"/>
    <xf numFmtId="0" fontId="15" fillId="6" borderId="4" xfId="0" applyFont="1" applyFill="1" applyBorder="1"/>
    <xf numFmtId="165" fontId="24" fillId="0" borderId="4" xfId="0" applyNumberFormat="1" applyFont="1" applyBorder="1"/>
    <xf numFmtId="0" fontId="25" fillId="0" borderId="0" xfId="0" applyFont="1"/>
    <xf numFmtId="0" fontId="26" fillId="0" borderId="0" xfId="0" applyFont="1"/>
    <xf numFmtId="0" fontId="27" fillId="4" borderId="5" xfId="0" applyFont="1" applyFill="1" applyBorder="1" applyAlignment="1">
      <alignment horizontal="center" vertical="center"/>
    </xf>
    <xf numFmtId="0" fontId="9" fillId="6" borderId="4" xfId="0" applyFont="1" applyFill="1" applyBorder="1"/>
    <xf numFmtId="0" fontId="1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9" fillId="0" borderId="4" xfId="0" applyFont="1" applyBorder="1"/>
    <xf numFmtId="164" fontId="30" fillId="0" borderId="4" xfId="0" applyNumberFormat="1" applyFont="1" applyBorder="1"/>
    <xf numFmtId="0" fontId="31" fillId="0" borderId="0" xfId="0" applyFont="1" applyAlignment="1">
      <alignment vertical="center" wrapText="1"/>
    </xf>
    <xf numFmtId="164" fontId="0" fillId="0" borderId="4" xfId="0" applyNumberFormat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164" fontId="16" fillId="5" borderId="6" xfId="0" applyNumberFormat="1" applyFont="1" applyFill="1" applyBorder="1" applyAlignment="1">
      <alignment horizontal="center"/>
    </xf>
    <xf numFmtId="164" fontId="32" fillId="6" borderId="4" xfId="0" applyNumberFormat="1" applyFont="1" applyFill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" fontId="8" fillId="4" borderId="5" xfId="0" applyNumberFormat="1" applyFont="1" applyFill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0" fontId="18" fillId="5" borderId="6" xfId="0" applyFont="1" applyFill="1" applyBorder="1"/>
    <xf numFmtId="1" fontId="18" fillId="5" borderId="6" xfId="0" applyNumberFormat="1" applyFont="1" applyFill="1" applyBorder="1" applyAlignment="1">
      <alignment horizontal="center"/>
    </xf>
    <xf numFmtId="1" fontId="18" fillId="5" borderId="6" xfId="0" applyNumberFormat="1" applyFont="1" applyFill="1" applyBorder="1"/>
    <xf numFmtId="0" fontId="33" fillId="5" borderId="4" xfId="0" applyFont="1" applyFill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/>
    </xf>
    <xf numFmtId="0" fontId="35" fillId="0" borderId="0" xfId="0" applyFont="1"/>
    <xf numFmtId="0" fontId="36" fillId="0" borderId="0" xfId="0" applyFont="1"/>
    <xf numFmtId="0" fontId="37" fillId="7" borderId="4" xfId="0" applyFont="1" applyFill="1" applyBorder="1" applyAlignment="1">
      <alignment horizontal="center" vertical="center"/>
    </xf>
    <xf numFmtId="0" fontId="39" fillId="0" borderId="0" xfId="0" applyFont="1"/>
    <xf numFmtId="0" fontId="33" fillId="5" borderId="4" xfId="0" applyFont="1" applyFill="1" applyBorder="1" applyAlignment="1">
      <alignment horizontal="center" vertical="center" wrapText="1"/>
    </xf>
    <xf numFmtId="3" fontId="40" fillId="4" borderId="5" xfId="0" applyNumberFormat="1" applyFont="1" applyFill="1" applyBorder="1" applyAlignment="1">
      <alignment horizontal="center"/>
    </xf>
    <xf numFmtId="3" fontId="30" fillId="0" borderId="4" xfId="0" applyNumberFormat="1" applyFont="1" applyBorder="1"/>
    <xf numFmtId="0" fontId="31" fillId="8" borderId="4" xfId="0" applyFont="1" applyFill="1" applyBorder="1" applyAlignment="1">
      <alignment vertical="center" wrapText="1"/>
    </xf>
    <xf numFmtId="164" fontId="41" fillId="0" borderId="4" xfId="0" applyNumberFormat="1" applyFont="1" applyBorder="1" applyAlignment="1">
      <alignment horizontal="center"/>
    </xf>
    <xf numFmtId="166" fontId="40" fillId="4" borderId="5" xfId="0" applyNumberFormat="1" applyFont="1" applyFill="1" applyBorder="1" applyAlignment="1">
      <alignment horizontal="center"/>
    </xf>
    <xf numFmtId="166" fontId="30" fillId="0" borderId="4" xfId="0" applyNumberFormat="1" applyFont="1" applyBorder="1"/>
    <xf numFmtId="3" fontId="39" fillId="0" borderId="0" xfId="0" applyNumberFormat="1" applyFont="1"/>
    <xf numFmtId="1" fontId="40" fillId="4" borderId="5" xfId="0" applyNumberFormat="1" applyFont="1" applyFill="1" applyBorder="1" applyAlignment="1">
      <alignment horizontal="center"/>
    </xf>
    <xf numFmtId="1" fontId="30" fillId="0" borderId="4" xfId="0" applyNumberFormat="1" applyFont="1" applyBorder="1"/>
    <xf numFmtId="3" fontId="41" fillId="0" borderId="4" xfId="0" applyNumberFormat="1" applyFont="1" applyBorder="1" applyAlignment="1">
      <alignment horizontal="center"/>
    </xf>
    <xf numFmtId="165" fontId="40" fillId="4" borderId="5" xfId="0" applyNumberFormat="1" applyFont="1" applyFill="1" applyBorder="1" applyAlignment="1">
      <alignment horizontal="center"/>
    </xf>
    <xf numFmtId="165" fontId="30" fillId="0" borderId="4" xfId="0" applyNumberFormat="1" applyFont="1" applyBorder="1"/>
    <xf numFmtId="164" fontId="40" fillId="4" borderId="5" xfId="0" applyNumberFormat="1" applyFont="1" applyFill="1" applyBorder="1" applyAlignment="1">
      <alignment horizontal="center"/>
    </xf>
    <xf numFmtId="165" fontId="30" fillId="0" borderId="4" xfId="0" applyNumberFormat="1" applyFont="1" applyBorder="1" applyAlignment="1">
      <alignment horizontal="center"/>
    </xf>
    <xf numFmtId="0" fontId="18" fillId="0" borderId="4" xfId="0" applyFont="1" applyBorder="1"/>
    <xf numFmtId="0" fontId="0" fillId="5" borderId="6" xfId="0" applyFill="1" applyBorder="1"/>
    <xf numFmtId="0" fontId="29" fillId="5" borderId="6" xfId="0" applyFont="1" applyFill="1" applyBorder="1"/>
    <xf numFmtId="164" fontId="18" fillId="5" borderId="6" xfId="0" applyNumberFormat="1" applyFont="1" applyFill="1" applyBorder="1" applyAlignment="1">
      <alignment horizontal="center"/>
    </xf>
    <xf numFmtId="164" fontId="30" fillId="5" borderId="6" xfId="0" applyNumberFormat="1" applyFont="1" applyFill="1" applyBorder="1"/>
    <xf numFmtId="164" fontId="39" fillId="0" borderId="0" xfId="0" applyNumberFormat="1" applyFont="1"/>
    <xf numFmtId="0" fontId="31" fillId="0" borderId="4" xfId="0" applyFont="1" applyBorder="1"/>
    <xf numFmtId="164" fontId="42" fillId="0" borderId="4" xfId="0" applyNumberFormat="1" applyFont="1" applyBorder="1" applyAlignment="1">
      <alignment horizontal="center"/>
    </xf>
    <xf numFmtId="164" fontId="42" fillId="6" borderId="4" xfId="0" applyNumberFormat="1" applyFont="1" applyFill="1" applyBorder="1" applyAlignment="1">
      <alignment horizontal="center"/>
    </xf>
    <xf numFmtId="0" fontId="42" fillId="0" borderId="4" xfId="0" applyFont="1" applyBorder="1"/>
    <xf numFmtId="0" fontId="42" fillId="6" borderId="4" xfId="0" applyFont="1" applyFill="1" applyBorder="1"/>
    <xf numFmtId="0" fontId="35" fillId="0" borderId="0" xfId="0" applyFont="1" applyAlignment="1">
      <alignment wrapText="1"/>
    </xf>
    <xf numFmtId="0" fontId="43" fillId="2" borderId="1" xfId="0" applyFont="1" applyFill="1" applyBorder="1" applyAlignment="1">
      <alignment horizontal="right" vertical="center"/>
    </xf>
    <xf numFmtId="0" fontId="1" fillId="0" borderId="4" xfId="0" applyFont="1" applyBorder="1"/>
    <xf numFmtId="0" fontId="11" fillId="0" borderId="4" xfId="0" applyFont="1" applyBorder="1" applyAlignment="1">
      <alignment vertical="center" wrapText="1"/>
    </xf>
    <xf numFmtId="0" fontId="1" fillId="6" borderId="4" xfId="0" applyFont="1" applyFill="1" applyBorder="1"/>
    <xf numFmtId="0" fontId="11" fillId="0" borderId="4" xfId="0" applyFont="1" applyBorder="1"/>
    <xf numFmtId="0" fontId="11" fillId="6" borderId="4" xfId="0" applyFont="1" applyFill="1" applyBorder="1"/>
    <xf numFmtId="0" fontId="34" fillId="2" borderId="1" xfId="0" applyFont="1" applyFill="1" applyBorder="1" applyAlignment="1">
      <alignment horizontal="left" vertical="center"/>
    </xf>
    <xf numFmtId="0" fontId="38" fillId="4" borderId="7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40" fillId="0" borderId="4" xfId="0" applyFont="1" applyBorder="1" applyAlignment="1">
      <alignment horizontal="center" vertical="center"/>
    </xf>
    <xf numFmtId="0" fontId="33" fillId="5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10" fontId="10" fillId="3" borderId="4" xfId="0" applyNumberFormat="1" applyFont="1" applyFill="1" applyBorder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/>
  </cellXfs>
  <cellStyles count="1">
    <cellStyle name="Normal" xfId="0" builtinId="0"/>
  </cellStyles>
  <dxfs count="47"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9C0006"/>
        <name val="Arial"/>
      </font>
    </dxf>
    <dxf>
      <font>
        <b/>
        <color rgb="FF276221"/>
        <name val="Arial"/>
      </font>
    </dxf>
    <dxf>
      <font>
        <b/>
        <sz val="12"/>
        <color rgb="FF7F7F7F"/>
        <name val="Arial"/>
      </font>
      <fill>
        <patternFill>
          <bgColor rgb="FFE7E6E6"/>
        </patternFill>
      </fill>
    </dxf>
    <dxf>
      <font>
        <b/>
        <sz val="12"/>
        <color rgb="FF276221"/>
        <name val="Arial"/>
      </font>
      <fill>
        <patternFill>
          <bgColor rgb="FFC6EFCE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ont>
        <b/>
        <sz val="11"/>
        <color rgb="FF9C0006"/>
        <name val="Arial"/>
      </font>
      <fill>
        <patternFill>
          <bgColor rgb="FFFFC7CE"/>
        </patternFill>
      </fill>
    </dxf>
    <dxf>
      <font>
        <b/>
        <sz val="11"/>
        <color rgb="FF276221"/>
        <name val="Arial"/>
      </font>
      <fill>
        <patternFill>
          <bgColor rgb="FFC6EFCE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ont>
        <b/>
        <sz val="12"/>
        <color rgb="FF9C0006"/>
        <name val="Arial"/>
      </font>
      <fill>
        <patternFill>
          <bgColor rgb="FFFFC7CE"/>
        </patternFill>
      </fill>
    </dxf>
    <dxf>
      <font>
        <b/>
        <sz val="12"/>
        <color rgb="FF7F6000"/>
        <name val="Arial"/>
      </font>
      <fill>
        <patternFill>
          <bgColor rgb="FFFFF2CC"/>
        </patternFill>
      </fill>
    </dxf>
    <dxf>
      <font>
        <b/>
        <sz val="12"/>
        <color rgb="FF276221"/>
        <name val="Arial"/>
      </font>
      <fill>
        <patternFill>
          <bgColor rgb="FFC6EFCE"/>
        </patternFill>
      </fill>
    </dxf>
    <dxf>
      <font>
        <b/>
        <color rgb="FF7F7F7F"/>
        <name val="Arial"/>
      </font>
      <fill>
        <patternFill>
          <bgColor rgb="FFE7E6E6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7F7F7F"/>
        <name val="Arial"/>
      </font>
      <fill>
        <patternFill>
          <bgColor rgb="FFE7E6E6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7F7F7F"/>
        <name val="Arial"/>
      </font>
      <fill>
        <patternFill>
          <bgColor rgb="FFE7E6E6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7F7F7F"/>
        <name val="Arial"/>
      </font>
      <fill>
        <patternFill>
          <bgColor rgb="FFE7E6E6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7F7F7F"/>
        <name val="Arial"/>
      </font>
      <fill>
        <patternFill>
          <bgColor rgb="FFE7E6E6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7F7F7F"/>
        <name val="Arial"/>
      </font>
      <fill>
        <patternFill>
          <bgColor rgb="FFE7E6E6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7F7F7F"/>
        <name val="Arial"/>
      </font>
      <fill>
        <patternFill>
          <bgColor rgb="FFE7E6E6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sz val="12"/>
        <color rgb="FF9C0006"/>
        <name val="Arial"/>
      </font>
      <fill>
        <patternFill>
          <bgColor rgb="FFFFC7CE"/>
        </patternFill>
      </fill>
    </dxf>
    <dxf>
      <font>
        <b/>
        <sz val="12"/>
        <color rgb="FF276221"/>
        <name val="Arial"/>
      </font>
      <fill>
        <patternFill>
          <bgColor rgb="FFC6EFCE"/>
        </patternFill>
      </fill>
    </dxf>
    <dxf>
      <font>
        <b/>
        <sz val="15"/>
        <color rgb="FF9C0006"/>
        <name val="Arial"/>
      </font>
      <fill>
        <patternFill>
          <bgColor rgb="FFFFC7CE"/>
        </patternFill>
      </fill>
    </dxf>
    <dxf>
      <font>
        <b/>
        <sz val="15"/>
        <color rgb="FF276221"/>
        <name val="Arial"/>
      </font>
      <fill>
        <patternFill>
          <bgColor rgb="FFC6EFCE"/>
        </patternFill>
      </fill>
    </dxf>
    <dxf>
      <font>
        <b/>
        <sz val="12"/>
        <color rgb="FF9C0006"/>
        <name val="Arial"/>
      </font>
      <fill>
        <patternFill>
          <bgColor rgb="FFFFC7CE"/>
        </patternFill>
      </fill>
    </dxf>
    <dxf>
      <font>
        <b/>
        <sz val="12"/>
        <color rgb="FF7F6000"/>
        <name val="Arial"/>
      </font>
      <fill>
        <patternFill>
          <bgColor rgb="FFFFF2CC"/>
        </patternFill>
      </fill>
    </dxf>
    <dxf>
      <font>
        <b/>
        <sz val="12"/>
        <color rgb="FF276221"/>
        <name val="Arial"/>
      </font>
      <fill>
        <patternFill>
          <bgColor rgb="FFC6EFCE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color rgb="FF9C0006"/>
        <name val="Arial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1E7B34"/>
      <rgbColor rgb="FF000080"/>
      <rgbColor rgb="FF7F6000"/>
      <rgbColor rgb="FF800080"/>
      <rgbColor rgb="FF008080"/>
      <rgbColor rgb="FFC0C0C0"/>
      <rgbColor rgb="FF808080"/>
      <rgbColor rgb="FF9AA7BD"/>
      <rgbColor rgb="FF5A5A5A"/>
      <rgbColor rgb="FFFFF2CC"/>
      <rgbColor rgb="FFEEF2F9"/>
      <rgbColor rgb="FF660066"/>
      <rgbColor rgb="FFFF8080"/>
      <rgbColor rgb="FF0066CC"/>
      <rgbColor rgb="FFD9D9D9"/>
      <rgbColor rgb="FF000080"/>
      <rgbColor rgb="FFFF00FF"/>
      <rgbColor rgb="FFF5F7FB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DF6E3"/>
      <rgbColor rgb="FFD9E2F3"/>
      <rgbColor rgb="FFE7E6E6"/>
      <rgbColor rgb="FFB0B0B0"/>
      <rgbColor rgb="FFFFC7CE"/>
      <rgbColor rgb="FF4F81BD"/>
      <rgbColor rgb="FF33CCCC"/>
      <rgbColor rgb="FF99CC00"/>
      <rgbColor rgb="FFFFCC00"/>
      <rgbColor rgb="FFC9A227"/>
      <rgbColor rgb="FFFF6600"/>
      <rgbColor rgb="FF606060"/>
      <rgbColor rgb="FF878787"/>
      <rgbColor rgb="FF1F3864"/>
      <rgbColor rgb="FF7F7F7F"/>
      <rgbColor rgb="FF003300"/>
      <rgbColor rgb="FF276221"/>
      <rgbColor rgb="FF993300"/>
      <rgbColor rgb="FF993366"/>
      <rgbColor rgb="FF2E5395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Revenue vs. Expenses by Levy Rate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</a:ln>
          </c:spPr>
          <c:invertIfNegative val="1"/>
          <c:cat>
            <c:strRef>
              <c:f>Dashboard!$A$34:$A$38</c:f>
              <c:strCache>
                <c:ptCount val="5"/>
                <c:pt idx="0">
                  <c:v>0.20%</c:v>
                </c:pt>
                <c:pt idx="1">
                  <c:v>0.25%</c:v>
                </c:pt>
                <c:pt idx="2">
                  <c:v>0.30%</c:v>
                </c:pt>
                <c:pt idx="3">
                  <c:v>0.35%</c:v>
                </c:pt>
                <c:pt idx="4">
                  <c:v>0.40%</c:v>
                </c:pt>
              </c:strCache>
            </c:strRef>
          </c:cat>
          <c:val>
            <c:numRef>
              <c:f>Dashboard!$C$34:$C$38</c:f>
              <c:numCache>
                <c:formatCode>\$#,##0</c:formatCode>
                <c:ptCount val="5"/>
                <c:pt idx="0">
                  <c:v>2215195.3305000002</c:v>
                </c:pt>
                <c:pt idx="1">
                  <c:v>2387040.6825000001</c:v>
                </c:pt>
                <c:pt idx="2">
                  <c:v>2558886.0345000001</c:v>
                </c:pt>
                <c:pt idx="3">
                  <c:v>2730731.3865</c:v>
                </c:pt>
                <c:pt idx="4">
                  <c:v>2902576.7385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6A-9746-ADD6-F7459DA686B9}"/>
            </c:ext>
          </c:extLst>
        </c:ser>
        <c:ser>
          <c:idx val="1"/>
          <c:order val="1"/>
          <c:tx>
            <c:strRef>
              <c:f>Dashboard!$D$33</c:f>
              <c:strCache>
                <c:ptCount val="1"/>
                <c:pt idx="0">
                  <c:v>ANNUAL EXPENSES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</a:ln>
          </c:spPr>
          <c:invertIfNegative val="1"/>
          <c:cat>
            <c:strRef>
              <c:f>Dashboard!$A$34:$A$38</c:f>
              <c:strCache>
                <c:ptCount val="5"/>
                <c:pt idx="0">
                  <c:v>0.20%</c:v>
                </c:pt>
                <c:pt idx="1">
                  <c:v>0.25%</c:v>
                </c:pt>
                <c:pt idx="2">
                  <c:v>0.30%</c:v>
                </c:pt>
                <c:pt idx="3">
                  <c:v>0.35%</c:v>
                </c:pt>
                <c:pt idx="4">
                  <c:v>0.40%</c:v>
                </c:pt>
              </c:strCache>
            </c:strRef>
          </c:cat>
          <c:val>
            <c:numRef>
              <c:f>Dashboard!$D$34:$D$38</c:f>
              <c:numCache>
                <c:formatCode>\$#,##0</c:formatCode>
                <c:ptCount val="5"/>
                <c:pt idx="0">
                  <c:v>2035252.2208803573</c:v>
                </c:pt>
                <c:pt idx="1">
                  <c:v>2035252.2208803573</c:v>
                </c:pt>
                <c:pt idx="2">
                  <c:v>2035252.2208803573</c:v>
                </c:pt>
                <c:pt idx="3">
                  <c:v>2035252.2208803573</c:v>
                </c:pt>
                <c:pt idx="4">
                  <c:v>2035252.2208803573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46A-9746-ADD6-F7459DA68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Where the Money Goes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0E5-5543-8BB6-17019CEE9C40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0E5-5543-8BB6-17019CEE9C40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0E5-5543-8BB6-17019CEE9C40}"/>
              </c:ext>
            </c:extLst>
          </c:dPt>
          <c:dPt>
            <c:idx val="3"/>
            <c:bubble3D val="0"/>
            <c:spPr>
              <a:solidFill>
                <a:srgbClr val="9AA7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0E5-5543-8BB6-17019CEE9C40}"/>
              </c:ext>
            </c:extLst>
          </c:dPt>
          <c:dPt>
            <c:idx val="4"/>
            <c:bubble3D val="0"/>
            <c:spPr>
              <a:solidFill>
                <a:srgbClr val="2E539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0E5-5543-8BB6-17019CEE9C40}"/>
              </c:ext>
            </c:extLst>
          </c:dPt>
          <c:cat>
            <c:strRef>
              <c:f>Dashboard!$A$51:$A$55</c:f>
              <c:strCache>
                <c:ptCount val="5"/>
                <c:pt idx="0">
                  <c:v>Personnel</c:v>
                </c:pt>
                <c:pt idx="1">
                  <c:v>Operations</c:v>
                </c:pt>
                <c:pt idx="2">
                  <c:v>Debt Service</c:v>
                </c:pt>
                <c:pt idx="3">
                  <c:v>Past-Due Bills</c:v>
                </c:pt>
                <c:pt idx="4">
                  <c:v>Capital Reserves</c:v>
                </c:pt>
              </c:strCache>
            </c:strRef>
          </c:cat>
          <c:val>
            <c:numRef>
              <c:f>Dashboard!$B$51:$B$55</c:f>
              <c:numCache>
                <c:formatCode>\$#,##0</c:formatCode>
                <c:ptCount val="5"/>
                <c:pt idx="0">
                  <c:v>1136232.378</c:v>
                </c:pt>
                <c:pt idx="1">
                  <c:v>157354.4057375</c:v>
                </c:pt>
                <c:pt idx="2">
                  <c:v>97801.080000000016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E5-5543-8BB6-17019CEE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8</xdr:col>
      <xdr:colOff>827280</xdr:colOff>
      <xdr:row>24</xdr:row>
      <xdr:rowOff>29880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13</xdr:col>
      <xdr:colOff>407460</xdr:colOff>
      <xdr:row>24</xdr:row>
      <xdr:rowOff>29880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55"/>
  <sheetViews>
    <sheetView showGridLines="0" zoomScale="132" workbookViewId="0">
      <selection activeCell="A2" sqref="A2"/>
    </sheetView>
  </sheetViews>
  <sheetFormatPr baseColWidth="10" defaultColWidth="8.6640625" defaultRowHeight="15" x14ac:dyDescent="0.2"/>
  <cols>
    <col min="1" max="1" width="33" customWidth="1"/>
    <col min="2" max="2" width="15" customWidth="1"/>
    <col min="3" max="3" width="17.6640625" customWidth="1"/>
    <col min="4" max="4" width="15" customWidth="1"/>
    <col min="5" max="6" width="14" customWidth="1"/>
    <col min="7" max="8" width="12" customWidth="1"/>
    <col min="9" max="9" width="14.5" customWidth="1"/>
    <col min="10" max="10" width="16.33203125" customWidth="1"/>
    <col min="11" max="11" width="21.83203125" customWidth="1"/>
    <col min="12" max="12" width="12" customWidth="1"/>
  </cols>
  <sheetData>
    <row r="1" spans="1:12" ht="33.75" customHeight="1" x14ac:dyDescent="0.2">
      <c r="A1" s="123" t="s">
        <v>0</v>
      </c>
      <c r="B1" s="123"/>
      <c r="C1" s="123"/>
      <c r="D1" s="123"/>
      <c r="E1" s="123"/>
      <c r="F1" s="123"/>
      <c r="G1" s="123"/>
      <c r="H1" s="123"/>
      <c r="I1" s="2"/>
      <c r="J1" s="112" t="s">
        <v>1</v>
      </c>
      <c r="K1" s="124" t="str">
        <f>Scenarios!B3</f>
        <v>AVERAGE</v>
      </c>
      <c r="L1" s="124"/>
    </row>
    <row r="2" spans="1:12" ht="15" customHeight="1" x14ac:dyDescent="0.2">
      <c r="A2" s="3"/>
    </row>
    <row r="3" spans="1:12" ht="7.5" customHeight="1" x14ac:dyDescent="0.2"/>
    <row r="4" spans="1:12" ht="19.5" customHeight="1" x14ac:dyDescent="0.2">
      <c r="A4" s="125" t="s">
        <v>2</v>
      </c>
      <c r="B4" s="125"/>
      <c r="C4" s="125"/>
      <c r="E4" s="126" t="s">
        <v>3</v>
      </c>
      <c r="F4" s="126"/>
      <c r="H4" s="126" t="s">
        <v>4</v>
      </c>
      <c r="I4" s="126"/>
      <c r="K4" s="126" t="s">
        <v>5</v>
      </c>
      <c r="L4" s="126"/>
    </row>
    <row r="5" spans="1:12" ht="25.5" customHeight="1" x14ac:dyDescent="0.2">
      <c r="A5" s="4" t="s">
        <v>6</v>
      </c>
      <c r="B5" s="5">
        <v>350704800</v>
      </c>
      <c r="C5" s="6" t="s">
        <v>7</v>
      </c>
      <c r="E5" s="127">
        <f>Budget!C12</f>
        <v>2558886.0345000001</v>
      </c>
      <c r="F5" s="127"/>
      <c r="H5" s="127">
        <f>Budget!C38</f>
        <v>2035252.2208803573</v>
      </c>
      <c r="I5" s="127"/>
      <c r="K5" s="127">
        <f>Budget!C40</f>
        <v>523633.81361964275</v>
      </c>
      <c r="L5" s="127"/>
    </row>
    <row r="6" spans="1:12" ht="15" customHeight="1" x14ac:dyDescent="0.2">
      <c r="A6" s="4" t="s">
        <v>8</v>
      </c>
      <c r="B6" s="7">
        <v>3.0000000000000001E-3</v>
      </c>
      <c r="C6" s="6" t="s">
        <v>9</v>
      </c>
    </row>
    <row r="7" spans="1:12" ht="15" customHeight="1" x14ac:dyDescent="0.2">
      <c r="A7" s="4" t="s">
        <v>10</v>
      </c>
      <c r="B7" s="8">
        <v>0.98</v>
      </c>
      <c r="C7" s="6" t="s">
        <v>9</v>
      </c>
      <c r="E7" s="126" t="s">
        <v>11</v>
      </c>
      <c r="F7" s="126"/>
      <c r="H7" s="126" t="s">
        <v>12</v>
      </c>
      <c r="I7" s="126"/>
      <c r="K7" s="126" t="s">
        <v>13</v>
      </c>
      <c r="L7" s="126"/>
    </row>
    <row r="8" spans="1:12" ht="25.5" customHeight="1" x14ac:dyDescent="0.2">
      <c r="A8" s="4" t="s">
        <v>14</v>
      </c>
      <c r="B8" s="9">
        <v>879</v>
      </c>
      <c r="C8" s="6" t="s">
        <v>15</v>
      </c>
      <c r="D8" s="1" t="str">
        <f>"Total incl. transfers: "&amp;TEXT(B8+'Transfer Division'!H10,"#,##0")&amp;" runs / yr"</f>
        <v>Total incl. transfers: 2,379 runs / yr</v>
      </c>
      <c r="E8" s="128">
        <f>IF(B5*B7=0,0,(Budget!C38-Budget!C6-SUM(Budget!C7:C11)-'Transfer Division'!H38)/(B5*B7))</f>
        <v>1.476438822681562E-3</v>
      </c>
      <c r="F8" s="128"/>
      <c r="H8" s="127">
        <f>B28*B29*B6</f>
        <v>299.99999999999972</v>
      </c>
      <c r="I8" s="127"/>
      <c r="K8" s="129">
        <f>(B28*B29*B6)/12</f>
        <v>24.999999999999975</v>
      </c>
      <c r="L8" s="129"/>
    </row>
    <row r="9" spans="1:12" ht="15" customHeight="1" x14ac:dyDescent="0.2">
      <c r="A9" s="4" t="s">
        <v>16</v>
      </c>
      <c r="B9" s="10">
        <v>0.62909999999999999</v>
      </c>
      <c r="C9" s="6" t="s">
        <v>17</v>
      </c>
    </row>
    <row r="10" spans="1:12" ht="15" customHeight="1" x14ac:dyDescent="0.2">
      <c r="A10" s="4" t="s">
        <v>18</v>
      </c>
      <c r="B10" s="5">
        <v>525</v>
      </c>
      <c r="C10" s="6" t="s">
        <v>19</v>
      </c>
    </row>
    <row r="11" spans="1:12" ht="15" customHeight="1" x14ac:dyDescent="0.2">
      <c r="A11" s="4" t="s">
        <v>20</v>
      </c>
      <c r="B11" s="10">
        <v>5.5E-2</v>
      </c>
      <c r="C11" s="6" t="s">
        <v>21</v>
      </c>
    </row>
    <row r="13" spans="1:12" ht="19.5" customHeight="1" x14ac:dyDescent="0.2">
      <c r="A13" s="125" t="s">
        <v>22</v>
      </c>
      <c r="B13" s="125"/>
      <c r="C13" s="125"/>
    </row>
    <row r="14" spans="1:12" ht="15" customHeight="1" x14ac:dyDescent="0.2">
      <c r="A14" s="4" t="s">
        <v>23</v>
      </c>
      <c r="B14" s="11">
        <f>Scenarios!F56</f>
        <v>2</v>
      </c>
      <c r="C14" s="12" t="s">
        <v>24</v>
      </c>
    </row>
    <row r="15" spans="1:12" ht="15" customHeight="1" x14ac:dyDescent="0.2">
      <c r="A15" s="4" t="s">
        <v>25</v>
      </c>
      <c r="B15" s="13">
        <f>Scenarios!F8</f>
        <v>120000</v>
      </c>
      <c r="C15" s="12" t="s">
        <v>24</v>
      </c>
    </row>
    <row r="16" spans="1:12" ht="15" customHeight="1" x14ac:dyDescent="0.2">
      <c r="A16" s="4" t="s">
        <v>26</v>
      </c>
      <c r="B16" s="11">
        <f>Scenarios!F57</f>
        <v>0</v>
      </c>
      <c r="C16" s="12" t="s">
        <v>24</v>
      </c>
    </row>
    <row r="17" spans="1:7" ht="15" customHeight="1" x14ac:dyDescent="0.2">
      <c r="A17" s="4" t="s">
        <v>27</v>
      </c>
      <c r="B17" s="13">
        <f>Scenarios!F9</f>
        <v>50000</v>
      </c>
      <c r="C17" s="12" t="s">
        <v>24</v>
      </c>
    </row>
    <row r="18" spans="1:7" ht="15" customHeight="1" x14ac:dyDescent="0.2">
      <c r="A18" s="4" t="s">
        <v>28</v>
      </c>
      <c r="B18" s="11">
        <f>Scenarios!F58</f>
        <v>3</v>
      </c>
      <c r="C18" s="12" t="s">
        <v>24</v>
      </c>
    </row>
    <row r="19" spans="1:7" ht="15" customHeight="1" x14ac:dyDescent="0.2">
      <c r="A19" s="4" t="s">
        <v>29</v>
      </c>
      <c r="B19" s="14">
        <f>Scenarios!F10</f>
        <v>21</v>
      </c>
      <c r="C19" s="12" t="s">
        <v>24</v>
      </c>
    </row>
    <row r="20" spans="1:7" ht="15" customHeight="1" x14ac:dyDescent="0.2">
      <c r="A20" s="4" t="s">
        <v>30</v>
      </c>
      <c r="B20" s="11">
        <f>Scenarios!F59</f>
        <v>3</v>
      </c>
      <c r="C20" s="12" t="s">
        <v>24</v>
      </c>
    </row>
    <row r="21" spans="1:7" ht="15" customHeight="1" x14ac:dyDescent="0.2">
      <c r="A21" s="4" t="s">
        <v>31</v>
      </c>
      <c r="B21" s="14">
        <f>Scenarios!F11</f>
        <v>17</v>
      </c>
      <c r="C21" s="12" t="s">
        <v>24</v>
      </c>
    </row>
    <row r="22" spans="1:7" ht="15" customHeight="1" x14ac:dyDescent="0.2">
      <c r="A22" s="4" t="s">
        <v>32</v>
      </c>
      <c r="B22" s="9">
        <v>2080</v>
      </c>
      <c r="C22" s="6" t="s">
        <v>33</v>
      </c>
    </row>
    <row r="23" spans="1:7" ht="15" customHeight="1" x14ac:dyDescent="0.2">
      <c r="A23" s="4" t="s">
        <v>34</v>
      </c>
      <c r="B23" s="9">
        <v>832</v>
      </c>
      <c r="C23" s="6" t="s">
        <v>33</v>
      </c>
    </row>
    <row r="24" spans="1:7" ht="15" customHeight="1" x14ac:dyDescent="0.2">
      <c r="A24" s="4" t="s">
        <v>35</v>
      </c>
      <c r="B24" s="9">
        <v>0</v>
      </c>
      <c r="C24" s="6" t="s">
        <v>33</v>
      </c>
    </row>
    <row r="25" spans="1:7" ht="15" customHeight="1" x14ac:dyDescent="0.2">
      <c r="A25" s="4" t="s">
        <v>36</v>
      </c>
      <c r="B25" s="9">
        <v>1000</v>
      </c>
      <c r="C25" s="6" t="s">
        <v>33</v>
      </c>
    </row>
    <row r="27" spans="1:7" ht="19.5" customHeight="1" x14ac:dyDescent="0.2">
      <c r="A27" s="125" t="s">
        <v>37</v>
      </c>
      <c r="B27" s="125"/>
      <c r="C27" s="125"/>
    </row>
    <row r="28" spans="1:7" ht="15" customHeight="1" x14ac:dyDescent="0.2">
      <c r="A28" s="4" t="s">
        <v>38</v>
      </c>
      <c r="B28" s="5">
        <v>300000</v>
      </c>
      <c r="C28" s="6" t="s">
        <v>7</v>
      </c>
    </row>
    <row r="29" spans="1:7" ht="15" customHeight="1" x14ac:dyDescent="0.2">
      <c r="A29" s="4" t="s">
        <v>39</v>
      </c>
      <c r="B29" s="10">
        <v>0.33333333333333298</v>
      </c>
      <c r="C29" s="6" t="s">
        <v>40</v>
      </c>
    </row>
    <row r="32" spans="1:7" ht="19.5" customHeight="1" x14ac:dyDescent="0.2">
      <c r="A32" s="125" t="s">
        <v>41</v>
      </c>
      <c r="B32" s="125"/>
      <c r="C32" s="125"/>
      <c r="D32" s="125"/>
      <c r="E32" s="125"/>
      <c r="F32" s="125"/>
      <c r="G32" s="125"/>
    </row>
    <row r="33" spans="1:7" ht="24" customHeight="1" x14ac:dyDescent="0.2">
      <c r="A33" s="15" t="s">
        <v>42</v>
      </c>
      <c r="B33" s="15" t="s">
        <v>43</v>
      </c>
      <c r="C33" s="15" t="s">
        <v>44</v>
      </c>
      <c r="D33" s="15" t="s">
        <v>45</v>
      </c>
      <c r="E33" s="15" t="s">
        <v>5</v>
      </c>
      <c r="F33" s="15" t="s">
        <v>46</v>
      </c>
      <c r="G33" s="15" t="s">
        <v>47</v>
      </c>
    </row>
    <row r="34" spans="1:7" ht="15" customHeight="1" x14ac:dyDescent="0.2">
      <c r="A34" s="16" t="str">
        <f>TEXT(G34,"0.00%")</f>
        <v>0.20%</v>
      </c>
      <c r="B34" s="17">
        <f>$B$5*G34*$B$7</f>
        <v>687381.40799999994</v>
      </c>
      <c r="C34" s="17">
        <f>B34+Budget!$C$6+SUM(Budget!$C$7:$C$11)+'Transfer Division'!$H$38</f>
        <v>2215195.3305000002</v>
      </c>
      <c r="D34" s="17">
        <f>Budget!$C$38</f>
        <v>2035252.2208803573</v>
      </c>
      <c r="E34" s="17">
        <f>C34-D34</f>
        <v>179943.10961964284</v>
      </c>
      <c r="F34" s="16" t="str">
        <f>IF(E34&gt;=0,"Fully Funds Budget","Funding Gap")</f>
        <v>Fully Funds Budget</v>
      </c>
      <c r="G34" s="7">
        <v>2E-3</v>
      </c>
    </row>
    <row r="35" spans="1:7" ht="15" customHeight="1" x14ac:dyDescent="0.2">
      <c r="A35" s="18" t="str">
        <f>TEXT(G35,"0.00%")</f>
        <v>0.25%</v>
      </c>
      <c r="B35" s="19">
        <f>$B$5*G35*$B$7</f>
        <v>859226.76</v>
      </c>
      <c r="C35" s="19">
        <f>B35+Budget!$C$6+SUM(Budget!$C$7:$C$11)+'Transfer Division'!$H$38</f>
        <v>2387040.6825000001</v>
      </c>
      <c r="D35" s="19">
        <f>Budget!$C$38</f>
        <v>2035252.2208803573</v>
      </c>
      <c r="E35" s="19">
        <f>C35-D35</f>
        <v>351788.4616196428</v>
      </c>
      <c r="F35" s="18" t="str">
        <f>IF(E35&gt;=0,"Fully Funds Budget","Funding Gap")</f>
        <v>Fully Funds Budget</v>
      </c>
      <c r="G35" s="7">
        <v>2.5000000000000001E-3</v>
      </c>
    </row>
    <row r="36" spans="1:7" ht="15" customHeight="1" x14ac:dyDescent="0.2">
      <c r="A36" s="16" t="str">
        <f>TEXT(G36,"0.00%")</f>
        <v>0.30%</v>
      </c>
      <c r="B36" s="17">
        <f>$B$5*G36*$B$7</f>
        <v>1031072.1119999998</v>
      </c>
      <c r="C36" s="17">
        <f>B36+Budget!$C$6+SUM(Budget!$C$7:$C$11)+'Transfer Division'!$H$38</f>
        <v>2558886.0345000001</v>
      </c>
      <c r="D36" s="17">
        <f>Budget!$C$38</f>
        <v>2035252.2208803573</v>
      </c>
      <c r="E36" s="17">
        <f>C36-D36</f>
        <v>523633.81361964275</v>
      </c>
      <c r="F36" s="16" t="str">
        <f>IF(E36&gt;=0,"Fully Funds Budget","Funding Gap")</f>
        <v>Fully Funds Budget</v>
      </c>
      <c r="G36" s="7">
        <v>3.0000000000000001E-3</v>
      </c>
    </row>
    <row r="37" spans="1:7" ht="15" customHeight="1" x14ac:dyDescent="0.2">
      <c r="A37" s="18" t="str">
        <f>TEXT(G37,"0.00%")</f>
        <v>0.35%</v>
      </c>
      <c r="B37" s="19">
        <f>$B$5*G37*$B$7</f>
        <v>1202917.4639999999</v>
      </c>
      <c r="C37" s="19">
        <f>B37+Budget!$C$6+SUM(Budget!$C$7:$C$11)+'Transfer Division'!$H$38</f>
        <v>2730731.3865</v>
      </c>
      <c r="D37" s="19">
        <f>Budget!$C$38</f>
        <v>2035252.2208803573</v>
      </c>
      <c r="E37" s="19">
        <f>C37-D37</f>
        <v>695479.16561964271</v>
      </c>
      <c r="F37" s="18" t="str">
        <f>IF(E37&gt;=0,"Fully Funds Budget","Funding Gap")</f>
        <v>Fully Funds Budget</v>
      </c>
      <c r="G37" s="7">
        <v>3.5000000000000001E-3</v>
      </c>
    </row>
    <row r="38" spans="1:7" ht="15" customHeight="1" x14ac:dyDescent="0.2">
      <c r="A38" s="16" t="str">
        <f>TEXT(G38,"0.00%")</f>
        <v>0.40%</v>
      </c>
      <c r="B38" s="17">
        <f>$B$5*G38*$B$7</f>
        <v>1374762.8159999999</v>
      </c>
      <c r="C38" s="17">
        <f>B38+Budget!$C$6+SUM(Budget!$C$7:$C$11)+'Transfer Division'!$H$38</f>
        <v>2902576.7385</v>
      </c>
      <c r="D38" s="17">
        <f>Budget!$C$38</f>
        <v>2035252.2208803573</v>
      </c>
      <c r="E38" s="17">
        <f>C38-D38</f>
        <v>867324.51761964266</v>
      </c>
      <c r="F38" s="16" t="str">
        <f>IF(E38&gt;=0,"Fully Funds Budget","Funding Gap")</f>
        <v>Fully Funds Budget</v>
      </c>
      <c r="G38" s="7">
        <v>4.0000000000000001E-3</v>
      </c>
    </row>
    <row r="41" spans="1:7" ht="19.5" customHeight="1" x14ac:dyDescent="0.2">
      <c r="A41" s="125" t="s">
        <v>48</v>
      </c>
      <c r="B41" s="125"/>
      <c r="C41" s="125"/>
      <c r="D41" s="125"/>
      <c r="E41" s="125"/>
      <c r="F41" s="125"/>
    </row>
    <row r="42" spans="1:7" ht="15" customHeight="1" x14ac:dyDescent="0.2">
      <c r="A42" s="20" t="s">
        <v>49</v>
      </c>
      <c r="B42" s="20" t="str">
        <f>TEXT(G34,"0.00%")</f>
        <v>0.20%</v>
      </c>
      <c r="C42" s="20" t="str">
        <f>TEXT(G35,"0.00%")</f>
        <v>0.25%</v>
      </c>
      <c r="D42" s="20" t="str">
        <f>TEXT(G36,"0.00%")</f>
        <v>0.30%</v>
      </c>
      <c r="E42" s="20" t="str">
        <f>TEXT(G37,"0.00%")</f>
        <v>0.35%</v>
      </c>
      <c r="F42" s="20" t="str">
        <f>TEXT(G38,"0.00%")</f>
        <v>0.40%</v>
      </c>
    </row>
    <row r="43" spans="1:7" ht="15" customHeight="1" x14ac:dyDescent="0.2">
      <c r="A43" s="5">
        <v>100000</v>
      </c>
      <c r="B43" s="21">
        <f>$A43*$B$29*G$34</f>
        <v>66.6666666666666</v>
      </c>
      <c r="C43" s="21">
        <f>$A43*$B$29*G$35</f>
        <v>83.333333333333243</v>
      </c>
      <c r="D43" s="21">
        <f>$A43*$B$29*G$36</f>
        <v>99.999999999999901</v>
      </c>
      <c r="E43" s="21">
        <f>$A43*$B$29*G$37</f>
        <v>116.66666666666654</v>
      </c>
      <c r="F43" s="21">
        <f>$A43*$B$29*G$38</f>
        <v>133.3333333333332</v>
      </c>
    </row>
    <row r="44" spans="1:7" ht="15" customHeight="1" x14ac:dyDescent="0.2">
      <c r="A44" s="5">
        <v>200000</v>
      </c>
      <c r="B44" s="22">
        <f>$A44*$B$29*G$34</f>
        <v>133.3333333333332</v>
      </c>
      <c r="C44" s="22">
        <f>$A44*$B$29*G$35</f>
        <v>166.66666666666649</v>
      </c>
      <c r="D44" s="22">
        <f>$A44*$B$29*G$36</f>
        <v>199.9999999999998</v>
      </c>
      <c r="E44" s="22">
        <f>$A44*$B$29*G$37</f>
        <v>233.33333333333309</v>
      </c>
      <c r="F44" s="22">
        <f>$A44*$B$29*G$38</f>
        <v>266.6666666666664</v>
      </c>
    </row>
    <row r="45" spans="1:7" ht="15" customHeight="1" x14ac:dyDescent="0.2">
      <c r="A45" s="5">
        <v>300000</v>
      </c>
      <c r="B45" s="21">
        <f>$A45*$B$29*G$34</f>
        <v>199.9999999999998</v>
      </c>
      <c r="C45" s="21">
        <f>$A45*$B$29*G$35</f>
        <v>249.99999999999974</v>
      </c>
      <c r="D45" s="21">
        <f>$A45*$B$29*G$36</f>
        <v>299.99999999999972</v>
      </c>
      <c r="E45" s="21">
        <f>$A45*$B$29*G$37</f>
        <v>349.99999999999966</v>
      </c>
      <c r="F45" s="21">
        <f>$A45*$B$29*G$38</f>
        <v>399.9999999999996</v>
      </c>
    </row>
    <row r="46" spans="1:7" ht="15" customHeight="1" x14ac:dyDescent="0.2">
      <c r="A46" s="5">
        <v>400000</v>
      </c>
      <c r="B46" s="22">
        <f>$A46*$B$29*G$34</f>
        <v>266.6666666666664</v>
      </c>
      <c r="C46" s="22">
        <f>$A46*$B$29*G$35</f>
        <v>333.33333333333297</v>
      </c>
      <c r="D46" s="22">
        <f>$A46*$B$29*G$36</f>
        <v>399.9999999999996</v>
      </c>
      <c r="E46" s="22">
        <f>$A46*$B$29*G$37</f>
        <v>466.66666666666617</v>
      </c>
      <c r="F46" s="22">
        <f>$A46*$B$29*G$38</f>
        <v>533.3333333333328</v>
      </c>
    </row>
    <row r="47" spans="1:7" ht="15" customHeight="1" x14ac:dyDescent="0.2">
      <c r="A47" s="5">
        <v>500000</v>
      </c>
      <c r="B47" s="21">
        <f>$A47*$B$29*G$34</f>
        <v>333.33333333333297</v>
      </c>
      <c r="C47" s="21">
        <f>$A47*$B$29*G$35</f>
        <v>416.66666666666623</v>
      </c>
      <c r="D47" s="21">
        <f>$A47*$B$29*G$36</f>
        <v>499.99999999999943</v>
      </c>
      <c r="E47" s="21">
        <f>$A47*$B$29*G$37</f>
        <v>583.33333333333269</v>
      </c>
      <c r="F47" s="21">
        <f>$A47*$B$29*G$38</f>
        <v>666.66666666666595</v>
      </c>
    </row>
    <row r="50" spans="1:2" ht="15" customHeight="1" x14ac:dyDescent="0.2">
      <c r="A50" s="23" t="s">
        <v>50</v>
      </c>
    </row>
    <row r="51" spans="1:2" ht="15" customHeight="1" x14ac:dyDescent="0.2">
      <c r="A51" s="23" t="s">
        <v>51</v>
      </c>
      <c r="B51" s="24">
        <f>Budget!C19</f>
        <v>1136232.378</v>
      </c>
    </row>
    <row r="52" spans="1:2" ht="15" customHeight="1" x14ac:dyDescent="0.2">
      <c r="A52" s="23" t="s">
        <v>52</v>
      </c>
      <c r="B52" s="24">
        <f>Budget!C30</f>
        <v>157354.4057375</v>
      </c>
    </row>
    <row r="53" spans="1:2" ht="15" customHeight="1" x14ac:dyDescent="0.2">
      <c r="A53" s="23" t="s">
        <v>53</v>
      </c>
      <c r="B53" s="24">
        <f>Budget!C33</f>
        <v>97801.080000000016</v>
      </c>
    </row>
    <row r="54" spans="1:2" ht="15" customHeight="1" x14ac:dyDescent="0.2">
      <c r="A54" s="23" t="s">
        <v>54</v>
      </c>
      <c r="B54" s="24">
        <f>Budget!C34</f>
        <v>0</v>
      </c>
    </row>
    <row r="55" spans="1:2" ht="15" customHeight="1" x14ac:dyDescent="0.2">
      <c r="A55" s="23" t="s">
        <v>55</v>
      </c>
      <c r="B55" s="24">
        <f>Budget!C35</f>
        <v>0</v>
      </c>
    </row>
  </sheetData>
  <mergeCells count="19">
    <mergeCell ref="A32:G32"/>
    <mergeCell ref="A41:F41"/>
    <mergeCell ref="E8:F8"/>
    <mergeCell ref="H8:I8"/>
    <mergeCell ref="K8:L8"/>
    <mergeCell ref="A13:C13"/>
    <mergeCell ref="A27:C27"/>
    <mergeCell ref="E5:F5"/>
    <mergeCell ref="H5:I5"/>
    <mergeCell ref="K5:L5"/>
    <mergeCell ref="E7:F7"/>
    <mergeCell ref="H7:I7"/>
    <mergeCell ref="K7:L7"/>
    <mergeCell ref="A1:H1"/>
    <mergeCell ref="K1:L1"/>
    <mergeCell ref="A4:C4"/>
    <mergeCell ref="E4:F4"/>
    <mergeCell ref="H4:I4"/>
    <mergeCell ref="K4:L4"/>
  </mergeCells>
  <conditionalFormatting sqref="E34:E38">
    <cfRule type="cellIs" dxfId="46" priority="9" operator="lessThan">
      <formula>0</formula>
    </cfRule>
  </conditionalFormatting>
  <conditionalFormatting sqref="F34:F38">
    <cfRule type="containsText" dxfId="45" priority="7" operator="containsText" text="Fully Funds">
      <formula>NOT(ISERROR(SEARCH("Fully Funds",F34)))</formula>
    </cfRule>
    <cfRule type="containsText" dxfId="44" priority="8" operator="containsText" text="Funding Gap">
      <formula>NOT(ISERROR(SEARCH("Funding Gap",F34)))</formula>
    </cfRule>
  </conditionalFormatting>
  <conditionalFormatting sqref="K1">
    <cfRule type="cellIs" dxfId="43" priority="2" operator="equal">
      <formula>"IDEAL"</formula>
    </cfRule>
    <cfRule type="cellIs" dxfId="42" priority="3" operator="equal">
      <formula>"AVERAGE"</formula>
    </cfRule>
    <cfRule type="cellIs" dxfId="41" priority="4" operator="equal">
      <formula>"BARE MINIMUM"</formula>
    </cfRule>
  </conditionalFormatting>
  <conditionalFormatting sqref="K5">
    <cfRule type="cellIs" dxfId="40" priority="5" operator="greaterThanOrEqual">
      <formula>0</formula>
    </cfRule>
    <cfRule type="cellIs" dxfId="39" priority="6" operator="lessThan">
      <formula>0</formula>
    </cfRule>
  </conditionalFormatting>
  <dataValidations count="1">
    <dataValidation type="list" allowBlank="1" sqref="B6" xr:uid="{00000000-0002-0000-0000-000000000000}">
      <formula1>"0.002,0.0025,0.003,0.0035,0.004"</formula1>
      <formula2>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A1:C52"/>
  <sheetViews>
    <sheetView showGridLines="0" zoomScale="150" workbookViewId="0">
      <selection sqref="A1:C1"/>
    </sheetView>
  </sheetViews>
  <sheetFormatPr baseColWidth="10" defaultColWidth="8.6640625" defaultRowHeight="15" x14ac:dyDescent="0.2"/>
  <cols>
    <col min="1" max="1" width="42" customWidth="1"/>
    <col min="2" max="2" width="40" customWidth="1"/>
    <col min="3" max="3" width="18" customWidth="1"/>
  </cols>
  <sheetData>
    <row r="1" spans="1:3" ht="30" customHeight="1" x14ac:dyDescent="0.2">
      <c r="A1" s="123" t="s">
        <v>56</v>
      </c>
      <c r="B1" s="123"/>
      <c r="C1" s="123"/>
    </row>
    <row r="2" spans="1:3" ht="15" customHeight="1" x14ac:dyDescent="0.2">
      <c r="A2" s="3" t="str">
        <f>"Annual budget at the selected "&amp;TEXT(Dashboard!B6,"0.00%")&amp;" levy rate  ·  Scenario: "&amp;Dashboard!K1&amp;"  ·  This page updates itself."</f>
        <v>Annual budget at the selected 0.30% levy rate  ·  Scenario: AVERAGE  ·  This page updates itself.</v>
      </c>
    </row>
    <row r="4" spans="1:3" ht="19.5" customHeight="1" x14ac:dyDescent="0.2">
      <c r="A4" s="125" t="s">
        <v>57</v>
      </c>
      <c r="B4" s="125"/>
      <c r="C4" s="125"/>
    </row>
    <row r="5" spans="1:3" ht="15" customHeight="1" x14ac:dyDescent="0.2">
      <c r="A5" s="4" t="s">
        <v>58</v>
      </c>
      <c r="B5" s="4" t="s">
        <v>59</v>
      </c>
      <c r="C5" s="17">
        <f>Dashboard!B5*Dashboard!B6*Dashboard!B7</f>
        <v>1031072.1119999998</v>
      </c>
    </row>
    <row r="6" spans="1:3" ht="15" customHeight="1" x14ac:dyDescent="0.2">
      <c r="A6" s="25" t="s">
        <v>60</v>
      </c>
      <c r="B6" s="25" t="s">
        <v>61</v>
      </c>
      <c r="C6" s="19">
        <f>Dashboard!B8*Dashboard!B9*Dashboard!B10</f>
        <v>290313.92249999999</v>
      </c>
    </row>
    <row r="7" spans="1:3" ht="15" customHeight="1" x14ac:dyDescent="0.2">
      <c r="A7" s="4" t="s">
        <v>62</v>
      </c>
      <c r="B7" s="4"/>
      <c r="C7" s="5">
        <v>0</v>
      </c>
    </row>
    <row r="8" spans="1:3" ht="15" customHeight="1" x14ac:dyDescent="0.2">
      <c r="A8" s="25" t="s">
        <v>63</v>
      </c>
      <c r="B8" s="25"/>
      <c r="C8" s="5">
        <v>0</v>
      </c>
    </row>
    <row r="9" spans="1:3" ht="15" customHeight="1" x14ac:dyDescent="0.2">
      <c r="A9" s="4" t="s">
        <v>64</v>
      </c>
      <c r="B9" s="4"/>
      <c r="C9" s="5">
        <v>0</v>
      </c>
    </row>
    <row r="10" spans="1:3" ht="15" customHeight="1" x14ac:dyDescent="0.2">
      <c r="A10" s="25" t="s">
        <v>65</v>
      </c>
      <c r="B10" s="25"/>
      <c r="C10" s="5">
        <v>0</v>
      </c>
    </row>
    <row r="11" spans="1:3" ht="15" customHeight="1" x14ac:dyDescent="0.2">
      <c r="A11" s="4" t="s">
        <v>66</v>
      </c>
      <c r="B11" s="4"/>
      <c r="C11" s="5">
        <v>0</v>
      </c>
    </row>
    <row r="12" spans="1:3" ht="15" customHeight="1" x14ac:dyDescent="0.2">
      <c r="A12" s="26" t="s">
        <v>3</v>
      </c>
      <c r="B12" s="26"/>
      <c r="C12" s="27">
        <f>SUM(C5:C11)+'Transfer Division'!H38</f>
        <v>2558886.0345000001</v>
      </c>
    </row>
    <row r="14" spans="1:3" ht="19.5" customHeight="1" x14ac:dyDescent="0.2">
      <c r="A14" s="125" t="s">
        <v>67</v>
      </c>
      <c r="B14" s="125"/>
      <c r="C14" s="125"/>
    </row>
    <row r="15" spans="1:3" ht="15" customHeight="1" x14ac:dyDescent="0.2">
      <c r="A15" s="4" t="s">
        <v>68</v>
      </c>
      <c r="B15" s="4" t="s">
        <v>69</v>
      </c>
      <c r="C15" s="17">
        <f>Details!E15</f>
        <v>651492</v>
      </c>
    </row>
    <row r="16" spans="1:3" ht="15" customHeight="1" x14ac:dyDescent="0.2">
      <c r="A16" s="25" t="s">
        <v>70</v>
      </c>
      <c r="B16" s="25" t="s">
        <v>71</v>
      </c>
      <c r="C16" s="19">
        <f>Details!E26</f>
        <v>182661.878</v>
      </c>
    </row>
    <row r="17" spans="1:3" ht="15" customHeight="1" x14ac:dyDescent="0.2">
      <c r="A17" s="4" t="s">
        <v>72</v>
      </c>
      <c r="B17" s="4" t="s">
        <v>73</v>
      </c>
      <c r="C17" s="17">
        <f>Details!E37</f>
        <v>88578.5</v>
      </c>
    </row>
    <row r="18" spans="1:3" ht="15" customHeight="1" x14ac:dyDescent="0.2">
      <c r="A18" s="25" t="s">
        <v>74</v>
      </c>
      <c r="B18" s="25" t="s">
        <v>75</v>
      </c>
      <c r="C18" s="19">
        <f>Details!E49</f>
        <v>213500</v>
      </c>
    </row>
    <row r="19" spans="1:3" ht="15" customHeight="1" x14ac:dyDescent="0.2">
      <c r="A19" s="26" t="s">
        <v>76</v>
      </c>
      <c r="B19" s="26"/>
      <c r="C19" s="27">
        <f>SUM(C15:C18)</f>
        <v>1136232.378</v>
      </c>
    </row>
    <row r="21" spans="1:3" ht="19.5" customHeight="1" x14ac:dyDescent="0.2">
      <c r="A21" s="125" t="s">
        <v>77</v>
      </c>
      <c r="B21" s="125"/>
      <c r="C21" s="125"/>
    </row>
    <row r="22" spans="1:3" ht="15" customHeight="1" x14ac:dyDescent="0.2">
      <c r="A22" s="4" t="s">
        <v>78</v>
      </c>
      <c r="B22" s="28"/>
      <c r="C22" s="17">
        <f>SUMIF(Details!$A$74:$A$116,A22,Details!$H$74:$H$116)</f>
        <v>35350</v>
      </c>
    </row>
    <row r="23" spans="1:3" ht="15" customHeight="1" x14ac:dyDescent="0.2">
      <c r="A23" s="25" t="s">
        <v>79</v>
      </c>
      <c r="B23" s="29"/>
      <c r="C23" s="19">
        <f>SUMIF(Details!$A$74:$A$116,A23,Details!$H$74:$H$116)</f>
        <v>9003.14</v>
      </c>
    </row>
    <row r="24" spans="1:3" ht="15" customHeight="1" x14ac:dyDescent="0.2">
      <c r="A24" s="4" t="s">
        <v>80</v>
      </c>
      <c r="B24" s="28"/>
      <c r="C24" s="17">
        <f>SUMIF(Details!$A$74:$A$116,A24,Details!$H$74:$H$116)</f>
        <v>55100</v>
      </c>
    </row>
    <row r="25" spans="1:3" ht="15" customHeight="1" x14ac:dyDescent="0.2">
      <c r="A25" s="25" t="s">
        <v>81</v>
      </c>
      <c r="B25" s="29"/>
      <c r="C25" s="19">
        <f>SUMIF(Details!$A$74:$A$116,A25,Details!$H$74:$H$116)</f>
        <v>8550</v>
      </c>
    </row>
    <row r="26" spans="1:3" ht="15" customHeight="1" x14ac:dyDescent="0.2">
      <c r="A26" s="4" t="s">
        <v>82</v>
      </c>
      <c r="B26" s="28"/>
      <c r="C26" s="17">
        <f>SUMIF(Details!$A$74:$A$116,A26,Details!$H$74:$H$116)</f>
        <v>15490</v>
      </c>
    </row>
    <row r="27" spans="1:3" ht="15" customHeight="1" x14ac:dyDescent="0.2">
      <c r="A27" s="25" t="s">
        <v>83</v>
      </c>
      <c r="B27" s="29"/>
      <c r="C27" s="19">
        <f>SUMIF(Details!$A$74:$A$116,A27,Details!$H$74:$H$116)</f>
        <v>23967.265737499998</v>
      </c>
    </row>
    <row r="28" spans="1:3" ht="15" customHeight="1" x14ac:dyDescent="0.2">
      <c r="A28" s="4" t="s">
        <v>84</v>
      </c>
      <c r="B28" s="28"/>
      <c r="C28" s="17">
        <f>SUMIF(Details!$A$74:$A$116,A28,Details!$H$74:$H$116)</f>
        <v>8994</v>
      </c>
    </row>
    <row r="29" spans="1:3" ht="15" customHeight="1" x14ac:dyDescent="0.2">
      <c r="A29" s="25" t="s">
        <v>85</v>
      </c>
      <c r="B29" s="29"/>
      <c r="C29" s="19">
        <f>SUMIF(Details!$A$74:$A$116,A29,Details!$H$74:$H$116)</f>
        <v>900</v>
      </c>
    </row>
    <row r="30" spans="1:3" ht="15" customHeight="1" x14ac:dyDescent="0.2">
      <c r="A30" s="26" t="s">
        <v>86</v>
      </c>
      <c r="B30" s="26"/>
      <c r="C30" s="27">
        <f>SUM(C22:C29)</f>
        <v>157354.4057375</v>
      </c>
    </row>
    <row r="32" spans="1:3" ht="19.5" customHeight="1" x14ac:dyDescent="0.2">
      <c r="A32" s="125" t="s">
        <v>87</v>
      </c>
      <c r="B32" s="125"/>
      <c r="C32" s="125"/>
    </row>
    <row r="33" spans="1:3" ht="15" customHeight="1" x14ac:dyDescent="0.2">
      <c r="A33" s="4" t="s">
        <v>53</v>
      </c>
      <c r="B33" s="4" t="s">
        <v>88</v>
      </c>
      <c r="C33" s="17">
        <f>Details!H127</f>
        <v>97801.080000000016</v>
      </c>
    </row>
    <row r="34" spans="1:3" ht="15" customHeight="1" x14ac:dyDescent="0.2">
      <c r="A34" s="25" t="s">
        <v>89</v>
      </c>
      <c r="B34" s="25" t="s">
        <v>90</v>
      </c>
      <c r="C34" s="19">
        <f>Details!E134</f>
        <v>0</v>
      </c>
    </row>
    <row r="35" spans="1:3" ht="15" customHeight="1" x14ac:dyDescent="0.2">
      <c r="A35" s="4" t="s">
        <v>91</v>
      </c>
      <c r="B35" s="4" t="s">
        <v>92</v>
      </c>
      <c r="C35" s="17">
        <f>Details!H150</f>
        <v>0</v>
      </c>
    </row>
    <row r="36" spans="1:3" ht="15" customHeight="1" x14ac:dyDescent="0.2">
      <c r="A36" s="26" t="s">
        <v>93</v>
      </c>
      <c r="B36" s="26"/>
      <c r="C36" s="27">
        <f>SUM(C33:C35)</f>
        <v>97801.080000000016</v>
      </c>
    </row>
    <row r="37" spans="1:3" ht="15" customHeight="1" x14ac:dyDescent="0.2">
      <c r="C37" s="30"/>
    </row>
    <row r="38" spans="1:3" ht="19.5" customHeight="1" x14ac:dyDescent="0.2">
      <c r="A38" s="31" t="s">
        <v>4</v>
      </c>
      <c r="B38" s="31"/>
      <c r="C38" s="32">
        <f>C19+C30+C36+'Transfer Division'!H39</f>
        <v>2035252.2208803573</v>
      </c>
    </row>
    <row r="40" spans="1:3" ht="21.75" customHeight="1" x14ac:dyDescent="0.2">
      <c r="A40" s="33" t="s">
        <v>94</v>
      </c>
      <c r="B40" s="33"/>
      <c r="C40" s="34">
        <f>C12-C38</f>
        <v>523633.81361964275</v>
      </c>
    </row>
    <row r="43" spans="1:3" ht="19.5" customHeight="1" x14ac:dyDescent="0.2">
      <c r="A43" s="125" t="s">
        <v>95</v>
      </c>
      <c r="B43" s="125"/>
      <c r="C43" s="125"/>
    </row>
    <row r="44" spans="1:3" ht="15" customHeight="1" x14ac:dyDescent="0.2">
      <c r="A44" s="4" t="str">
        <f>"Annual tax on a "&amp;TEXT(Dashboard!B28,"$#,##0")&amp;" home at "&amp;TEXT(Dashboard!B6,"0.00%")</f>
        <v>Annual tax on a $300,000 home at 0.30%</v>
      </c>
      <c r="B44" s="28"/>
      <c r="C44" s="17">
        <f>Dashboard!B28*Dashboard!B29*Dashboard!B6</f>
        <v>299.99999999999972</v>
      </c>
    </row>
    <row r="45" spans="1:3" ht="15" customHeight="1" x14ac:dyDescent="0.2">
      <c r="A45" s="25" t="s">
        <v>96</v>
      </c>
      <c r="B45" s="29"/>
      <c r="C45" s="35">
        <f>C44/12</f>
        <v>24.999999999999975</v>
      </c>
    </row>
    <row r="47" spans="1:3" ht="19.5" customHeight="1" x14ac:dyDescent="0.2">
      <c r="A47" s="120" t="s">
        <v>97</v>
      </c>
      <c r="B47" s="120"/>
      <c r="C47" s="120"/>
    </row>
    <row r="48" spans="1:3" ht="15" customHeight="1" x14ac:dyDescent="0.2">
      <c r="A48" s="28" t="s">
        <v>98</v>
      </c>
      <c r="B48" s="28"/>
      <c r="C48" s="36">
        <f>'Transfer Division'!H38</f>
        <v>1237500</v>
      </c>
    </row>
    <row r="49" spans="1:3" ht="15" customHeight="1" x14ac:dyDescent="0.2">
      <c r="A49" s="28" t="s">
        <v>99</v>
      </c>
      <c r="B49" s="28"/>
      <c r="C49" s="36">
        <f>'Transfer Division'!H39</f>
        <v>643864.35714285728</v>
      </c>
    </row>
    <row r="50" spans="1:3" ht="15" customHeight="1" x14ac:dyDescent="0.2">
      <c r="A50" s="28" t="s">
        <v>100</v>
      </c>
      <c r="B50" s="28"/>
      <c r="C50" s="36">
        <f>C48-C49</f>
        <v>593635.64285714272</v>
      </c>
    </row>
    <row r="51" spans="1:3" ht="15" customHeight="1" x14ac:dyDescent="0.2">
      <c r="A51" s="28" t="s">
        <v>101</v>
      </c>
      <c r="B51" s="28"/>
      <c r="C51" s="37">
        <f>'Transfer Division'!H10</f>
        <v>1500</v>
      </c>
    </row>
    <row r="52" spans="1:3" ht="15" customHeight="1" x14ac:dyDescent="0.2">
      <c r="A52" s="38" t="s">
        <v>102</v>
      </c>
      <c r="B52" s="39"/>
      <c r="C52" s="40">
        <f>Dashboard!B8+'Transfer Division'!H10</f>
        <v>2379</v>
      </c>
    </row>
  </sheetData>
  <mergeCells count="7">
    <mergeCell ref="A43:C43"/>
    <mergeCell ref="A47:C47"/>
    <mergeCell ref="A1:C1"/>
    <mergeCell ref="A4:C4"/>
    <mergeCell ref="A14:C14"/>
    <mergeCell ref="A21:C21"/>
    <mergeCell ref="A32:C32"/>
  </mergeCells>
  <conditionalFormatting sqref="C22:C29">
    <cfRule type="dataBar" priority="4">
      <dataBar>
        <cfvo type="num" val="0"/>
        <cfvo type="max"/>
        <color rgb="FF2E5395"/>
      </dataBar>
    </cfRule>
    <cfRule type="dataBar" priority="5">
      <dataBar>
        <cfvo type="num" val="0"/>
        <cfvo type="max"/>
        <color rgb="FF2E5395"/>
      </dataBar>
      <extLst>
        <ext xmlns:x14="http://schemas.microsoft.com/office/spreadsheetml/2009/9/main" uri="{B025F937-C7B1-47D3-B67F-A62EFF666E3E}">
          <x14:id>{23D86CB0-83F5-4163-B05A-A3CD1D764D87}</x14:id>
        </ext>
      </extLst>
    </cfRule>
  </conditionalFormatting>
  <conditionalFormatting sqref="C40">
    <cfRule type="cellIs" dxfId="38" priority="2" operator="greaterThanOrEqual">
      <formula>0</formula>
    </cfRule>
    <cfRule type="cellIs" dxfId="37" priority="3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D86CB0-83F5-4163-B05A-A3CD1D764D87}">
            <x14:dataBar>
              <x14:cfvo type="num">
                <xm:f>0</xm:f>
              </x14:cfvo>
              <x14:cfvo type="max"/>
              <x14:negativeFillColor rgb="FF2E5395"/>
              <x14:axisColor auto="1"/>
            </x14:dataBar>
          </x14:cfRule>
          <xm:sqref>C22:C29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J150"/>
  <sheetViews>
    <sheetView showGridLines="0" topLeftCell="A49" zoomScale="178" workbookViewId="0">
      <selection activeCell="G51" sqref="G51"/>
    </sheetView>
  </sheetViews>
  <sheetFormatPr baseColWidth="10" defaultColWidth="8.6640625" defaultRowHeight="15" x14ac:dyDescent="0.2"/>
  <cols>
    <col min="1" max="1" width="40" customWidth="1"/>
    <col min="2" max="2" width="31" customWidth="1"/>
    <col min="3" max="3" width="15" customWidth="1"/>
    <col min="4" max="4" width="12" customWidth="1"/>
    <col min="5" max="5" width="14" customWidth="1"/>
    <col min="6" max="6" width="12" customWidth="1"/>
    <col min="7" max="7" width="11" customWidth="1"/>
    <col min="8" max="8" width="15" customWidth="1"/>
    <col min="9" max="9" width="46" customWidth="1"/>
    <col min="10" max="10" width="11" customWidth="1"/>
  </cols>
  <sheetData>
    <row r="1" spans="1:8" ht="30" customHeight="1" x14ac:dyDescent="0.2">
      <c r="A1" s="123" t="s">
        <v>103</v>
      </c>
      <c r="B1" s="123"/>
      <c r="C1" s="123"/>
      <c r="D1" s="123"/>
      <c r="E1" s="123"/>
      <c r="F1" s="123"/>
      <c r="G1" s="123"/>
      <c r="H1" s="123"/>
    </row>
    <row r="2" spans="1:8" ht="15" customHeight="1" x14ac:dyDescent="0.2">
      <c r="A2" s="3" t="s">
        <v>104</v>
      </c>
    </row>
    <row r="4" spans="1:8" ht="19.5" customHeight="1" x14ac:dyDescent="0.2">
      <c r="A4" s="125" t="s">
        <v>105</v>
      </c>
      <c r="B4" s="125"/>
      <c r="C4" s="125"/>
      <c r="D4" s="125"/>
      <c r="E4" s="125"/>
    </row>
    <row r="5" spans="1:8" ht="24" customHeight="1" x14ac:dyDescent="0.2">
      <c r="A5" s="15" t="s">
        <v>106</v>
      </c>
      <c r="B5" s="15" t="s">
        <v>107</v>
      </c>
      <c r="C5" s="15" t="s">
        <v>108</v>
      </c>
      <c r="D5" s="15" t="s">
        <v>42</v>
      </c>
      <c r="E5" s="15" t="s">
        <v>109</v>
      </c>
    </row>
    <row r="6" spans="1:8" ht="15" customHeight="1" x14ac:dyDescent="0.2">
      <c r="A6" s="4" t="s">
        <v>110</v>
      </c>
      <c r="B6" s="4" t="s">
        <v>111</v>
      </c>
      <c r="C6" s="41">
        <f>Dashboard!B14</f>
        <v>2</v>
      </c>
      <c r="D6" s="17">
        <f>Dashboard!B15</f>
        <v>120000</v>
      </c>
      <c r="E6" s="17">
        <f>C6*D6</f>
        <v>240000</v>
      </c>
    </row>
    <row r="7" spans="1:8" ht="15" customHeight="1" x14ac:dyDescent="0.2">
      <c r="A7" s="25" t="s">
        <v>26</v>
      </c>
      <c r="B7" s="25" t="s">
        <v>111</v>
      </c>
      <c r="C7" s="42">
        <f>Dashboard!B16</f>
        <v>0</v>
      </c>
      <c r="D7" s="19">
        <f>Dashboard!B17</f>
        <v>50000</v>
      </c>
      <c r="E7" s="19">
        <f>C7*D7</f>
        <v>0</v>
      </c>
    </row>
    <row r="8" spans="1:8" ht="15" customHeight="1" x14ac:dyDescent="0.2">
      <c r="A8" s="4" t="s">
        <v>112</v>
      </c>
      <c r="B8" s="4" t="s">
        <v>113</v>
      </c>
      <c r="C8" s="41">
        <f>Dashboard!B18</f>
        <v>3</v>
      </c>
      <c r="D8" s="43">
        <f>Dashboard!B19</f>
        <v>21</v>
      </c>
      <c r="E8" s="17">
        <f>C8*((Dashboard!B22*D8)+(Dashboard!B23*D8*1.5))</f>
        <v>209664</v>
      </c>
    </row>
    <row r="9" spans="1:8" ht="15" customHeight="1" x14ac:dyDescent="0.2">
      <c r="A9" s="25" t="s">
        <v>114</v>
      </c>
      <c r="B9" s="25" t="s">
        <v>113</v>
      </c>
      <c r="C9" s="42">
        <f>Dashboard!B20</f>
        <v>3</v>
      </c>
      <c r="D9" s="35">
        <f>Dashboard!B21</f>
        <v>17</v>
      </c>
      <c r="E9" s="19">
        <f>C9*((Dashboard!B22*D9)+(Dashboard!B23*D9*1.5))</f>
        <v>169728</v>
      </c>
    </row>
    <row r="10" spans="1:8" ht="15" customHeight="1" x14ac:dyDescent="0.2">
      <c r="A10" s="4" t="s">
        <v>115</v>
      </c>
      <c r="B10" s="4" t="s">
        <v>116</v>
      </c>
      <c r="C10" s="28"/>
      <c r="D10" s="28"/>
      <c r="E10" s="17">
        <f>G69</f>
        <v>0</v>
      </c>
    </row>
    <row r="11" spans="1:8" ht="15" customHeight="1" x14ac:dyDescent="0.2">
      <c r="A11" s="25" t="s">
        <v>117</v>
      </c>
      <c r="B11" s="25" t="s">
        <v>118</v>
      </c>
      <c r="C11" s="29"/>
      <c r="D11" s="29"/>
      <c r="E11" s="19">
        <f>G70</f>
        <v>600</v>
      </c>
    </row>
    <row r="12" spans="1:8" ht="15" customHeight="1" x14ac:dyDescent="0.2">
      <c r="A12" s="4" t="s">
        <v>119</v>
      </c>
      <c r="B12" s="4" t="s">
        <v>120</v>
      </c>
      <c r="C12" s="4">
        <f>Dashboard!B25</f>
        <v>1000</v>
      </c>
      <c r="D12" s="43">
        <f>Dashboard!B19*1.5</f>
        <v>31.5</v>
      </c>
      <c r="E12" s="17">
        <f>C12*D12</f>
        <v>31500</v>
      </c>
    </row>
    <row r="13" spans="1:8" ht="15" customHeight="1" x14ac:dyDescent="0.2">
      <c r="A13" s="25" t="s">
        <v>121</v>
      </c>
      <c r="B13" s="25" t="s">
        <v>122</v>
      </c>
      <c r="C13" s="25">
        <f>Dashboard!B18*Dashboard!B24</f>
        <v>0</v>
      </c>
      <c r="D13" s="35">
        <f>Dashboard!B19</f>
        <v>21</v>
      </c>
      <c r="E13" s="19">
        <f>C13*D13</f>
        <v>0</v>
      </c>
    </row>
    <row r="14" spans="1:8" ht="15" customHeight="1" x14ac:dyDescent="0.2">
      <c r="A14" s="4" t="s">
        <v>123</v>
      </c>
      <c r="B14" s="4" t="s">
        <v>124</v>
      </c>
      <c r="C14" s="4">
        <f>Dashboard!B20*Dashboard!B24</f>
        <v>0</v>
      </c>
      <c r="D14" s="43">
        <f>Dashboard!B21</f>
        <v>17</v>
      </c>
      <c r="E14" s="17">
        <f>C14*D14</f>
        <v>0</v>
      </c>
    </row>
    <row r="15" spans="1:8" ht="15" customHeight="1" x14ac:dyDescent="0.2">
      <c r="A15" s="26" t="s">
        <v>125</v>
      </c>
      <c r="B15" s="26"/>
      <c r="C15" s="26"/>
      <c r="D15" s="26"/>
      <c r="E15" s="27">
        <f>SUM(E6:E14)</f>
        <v>651492</v>
      </c>
    </row>
    <row r="17" spans="1:5" ht="19.5" customHeight="1" x14ac:dyDescent="0.2">
      <c r="A17" s="125" t="s">
        <v>126</v>
      </c>
      <c r="B17" s="125"/>
      <c r="C17" s="125"/>
      <c r="D17" s="125"/>
      <c r="E17" s="125"/>
    </row>
    <row r="18" spans="1:5" ht="24" customHeight="1" x14ac:dyDescent="0.2">
      <c r="A18" s="15" t="s">
        <v>106</v>
      </c>
      <c r="B18" s="15" t="s">
        <v>127</v>
      </c>
      <c r="C18" s="15" t="s">
        <v>128</v>
      </c>
      <c r="D18" s="15" t="s">
        <v>42</v>
      </c>
      <c r="E18" s="15" t="s">
        <v>109</v>
      </c>
    </row>
    <row r="19" spans="1:5" ht="15" customHeight="1" x14ac:dyDescent="0.2">
      <c r="A19" s="4" t="s">
        <v>129</v>
      </c>
      <c r="B19" s="4" t="s">
        <v>130</v>
      </c>
      <c r="C19" s="28"/>
      <c r="D19" s="7">
        <v>6.2E-2</v>
      </c>
      <c r="E19" s="17">
        <f>$E$15*D19</f>
        <v>40392.504000000001</v>
      </c>
    </row>
    <row r="20" spans="1:5" ht="15" customHeight="1" x14ac:dyDescent="0.2">
      <c r="A20" s="25" t="s">
        <v>131</v>
      </c>
      <c r="B20" s="25" t="s">
        <v>130</v>
      </c>
      <c r="C20" s="29"/>
      <c r="D20" s="7">
        <v>1.4500000000000001E-2</v>
      </c>
      <c r="E20" s="19">
        <f>$E$15*D20</f>
        <v>9446.634</v>
      </c>
    </row>
    <row r="21" spans="1:5" ht="15" customHeight="1" x14ac:dyDescent="0.2">
      <c r="A21" s="4" t="s">
        <v>132</v>
      </c>
      <c r="B21" s="4" t="s">
        <v>130</v>
      </c>
      <c r="C21" s="28"/>
      <c r="D21" s="7">
        <v>9.5000000000000001E-2</v>
      </c>
      <c r="E21" s="17">
        <f>$E$15*D21</f>
        <v>61891.74</v>
      </c>
    </row>
    <row r="22" spans="1:5" ht="15" customHeight="1" x14ac:dyDescent="0.2">
      <c r="A22" s="25" t="s">
        <v>133</v>
      </c>
      <c r="B22" s="5">
        <v>14250</v>
      </c>
      <c r="C22" s="25">
        <f>Dashboard!B14+Dashboard!B16+Dashboard!B18+Dashboard!B20</f>
        <v>8</v>
      </c>
      <c r="D22" s="7">
        <v>3.3500000000000002E-2</v>
      </c>
      <c r="E22" s="19">
        <f>B22*C22*D22</f>
        <v>3819.0000000000005</v>
      </c>
    </row>
    <row r="23" spans="1:5" ht="15" customHeight="1" x14ac:dyDescent="0.2">
      <c r="A23" s="4" t="s">
        <v>134</v>
      </c>
      <c r="B23" s="4" t="s">
        <v>135</v>
      </c>
      <c r="C23" s="28"/>
      <c r="D23" s="28"/>
      <c r="E23" s="5">
        <v>47612</v>
      </c>
    </row>
    <row r="24" spans="1:5" ht="15" customHeight="1" x14ac:dyDescent="0.2">
      <c r="A24" s="25" t="s">
        <v>136</v>
      </c>
      <c r="B24" s="25" t="s">
        <v>137</v>
      </c>
      <c r="C24" s="29"/>
      <c r="D24" s="29"/>
      <c r="E24" s="5">
        <v>10500</v>
      </c>
    </row>
    <row r="25" spans="1:5" ht="15" customHeight="1" x14ac:dyDescent="0.2">
      <c r="A25" s="4" t="s">
        <v>138</v>
      </c>
      <c r="B25" s="113" t="s">
        <v>421</v>
      </c>
      <c r="C25" s="4">
        <f>Dashboard!B14+Dashboard!B18+Dashboard!B20</f>
        <v>8</v>
      </c>
      <c r="D25" s="28"/>
      <c r="E25" s="17">
        <f>(Dashboard!B14*1500)+((Dashboard!B18+Dashboard!B20)*1000)</f>
        <v>9000</v>
      </c>
    </row>
    <row r="26" spans="1:5" ht="15" customHeight="1" x14ac:dyDescent="0.2">
      <c r="A26" s="26" t="s">
        <v>139</v>
      </c>
      <c r="B26" s="26"/>
      <c r="C26" s="26"/>
      <c r="D26" s="26"/>
      <c r="E26" s="27">
        <f>SUM(E19:E25)</f>
        <v>182661.878</v>
      </c>
    </row>
    <row r="28" spans="1:5" ht="19.5" customHeight="1" x14ac:dyDescent="0.2">
      <c r="A28" s="125" t="s">
        <v>140</v>
      </c>
      <c r="B28" s="125"/>
      <c r="C28" s="125"/>
      <c r="D28" s="125"/>
      <c r="E28" s="125"/>
    </row>
    <row r="29" spans="1:5" ht="24" customHeight="1" x14ac:dyDescent="0.2">
      <c r="A29" s="15" t="s">
        <v>106</v>
      </c>
      <c r="B29" s="15" t="s">
        <v>141</v>
      </c>
      <c r="C29" s="15"/>
      <c r="D29" s="15"/>
      <c r="E29" s="15" t="s">
        <v>109</v>
      </c>
    </row>
    <row r="30" spans="1:5" ht="15" customHeight="1" x14ac:dyDescent="0.2">
      <c r="A30" s="4" t="s">
        <v>142</v>
      </c>
      <c r="B30" s="4"/>
      <c r="C30" s="28"/>
      <c r="D30" s="28"/>
      <c r="E30" s="13">
        <f>Scenarios!F14</f>
        <v>69000</v>
      </c>
    </row>
    <row r="31" spans="1:5" ht="15" customHeight="1" x14ac:dyDescent="0.2">
      <c r="A31" s="25" t="s">
        <v>143</v>
      </c>
      <c r="B31" s="25"/>
      <c r="C31" s="29"/>
      <c r="D31" s="29"/>
      <c r="E31" s="44">
        <f>Scenarios!F15</f>
        <v>0</v>
      </c>
    </row>
    <row r="32" spans="1:5" ht="15" customHeight="1" x14ac:dyDescent="0.2">
      <c r="A32" s="4" t="s">
        <v>144</v>
      </c>
      <c r="B32" s="4"/>
      <c r="C32" s="28"/>
      <c r="D32" s="28"/>
      <c r="E32" s="13">
        <f>Scenarios!F16</f>
        <v>5278.5</v>
      </c>
    </row>
    <row r="33" spans="1:5" ht="15" customHeight="1" x14ac:dyDescent="0.2">
      <c r="A33" s="25" t="s">
        <v>145</v>
      </c>
      <c r="B33" s="25"/>
      <c r="C33" s="29"/>
      <c r="D33" s="29"/>
      <c r="E33" s="44">
        <f>Scenarios!F17</f>
        <v>6300</v>
      </c>
    </row>
    <row r="34" spans="1:5" ht="15" customHeight="1" x14ac:dyDescent="0.2">
      <c r="A34" s="4" t="s">
        <v>146</v>
      </c>
      <c r="B34" s="4"/>
      <c r="C34" s="28"/>
      <c r="D34" s="28"/>
      <c r="E34" s="13">
        <f>Scenarios!F18</f>
        <v>3000</v>
      </c>
    </row>
    <row r="35" spans="1:5" ht="15" customHeight="1" x14ac:dyDescent="0.2">
      <c r="A35" s="25" t="s">
        <v>147</v>
      </c>
      <c r="B35" s="25"/>
      <c r="C35" s="29"/>
      <c r="D35" s="29"/>
      <c r="E35" s="44">
        <f>Scenarios!F19</f>
        <v>5000</v>
      </c>
    </row>
    <row r="36" spans="1:5" ht="15" customHeight="1" x14ac:dyDescent="0.2">
      <c r="A36" s="4" t="s">
        <v>148</v>
      </c>
      <c r="B36" s="4"/>
      <c r="C36" s="28"/>
      <c r="D36" s="28"/>
      <c r="E36" s="13">
        <f>Scenarios!F20</f>
        <v>0</v>
      </c>
    </row>
    <row r="37" spans="1:5" ht="15" customHeight="1" x14ac:dyDescent="0.2">
      <c r="A37" s="26" t="s">
        <v>149</v>
      </c>
      <c r="B37" s="26"/>
      <c r="C37" s="26"/>
      <c r="D37" s="26"/>
      <c r="E37" s="27">
        <f>SUM(E30:E36)</f>
        <v>88578.5</v>
      </c>
    </row>
    <row r="39" spans="1:5" ht="19.5" customHeight="1" x14ac:dyDescent="0.2">
      <c r="A39" s="125" t="s">
        <v>150</v>
      </c>
      <c r="B39" s="125"/>
      <c r="C39" s="125"/>
      <c r="D39" s="125"/>
      <c r="E39" s="125"/>
    </row>
    <row r="40" spans="1:5" ht="24" customHeight="1" x14ac:dyDescent="0.2">
      <c r="A40" s="15" t="s">
        <v>106</v>
      </c>
      <c r="B40" s="15" t="s">
        <v>151</v>
      </c>
      <c r="C40" s="15"/>
      <c r="D40" s="15"/>
      <c r="E40" s="15" t="s">
        <v>109</v>
      </c>
    </row>
    <row r="41" spans="1:5" ht="15" customHeight="1" x14ac:dyDescent="0.2">
      <c r="A41" s="4" t="s">
        <v>152</v>
      </c>
      <c r="B41" s="28"/>
      <c r="C41" s="28"/>
      <c r="D41" s="28"/>
      <c r="E41" s="13">
        <f>Scenarios!F24</f>
        <v>170000</v>
      </c>
    </row>
    <row r="42" spans="1:5" ht="15" customHeight="1" x14ac:dyDescent="0.2">
      <c r="A42" s="25" t="s">
        <v>153</v>
      </c>
      <c r="B42" s="29"/>
      <c r="C42" s="29"/>
      <c r="D42" s="29"/>
      <c r="E42" s="44">
        <f>Scenarios!F25</f>
        <v>11000</v>
      </c>
    </row>
    <row r="43" spans="1:5" ht="15" customHeight="1" x14ac:dyDescent="0.2">
      <c r="A43" s="4" t="s">
        <v>154</v>
      </c>
      <c r="B43" s="28"/>
      <c r="C43" s="28"/>
      <c r="D43" s="28"/>
      <c r="E43" s="13">
        <f>Scenarios!F26</f>
        <v>3500</v>
      </c>
    </row>
    <row r="44" spans="1:5" ht="15" customHeight="1" x14ac:dyDescent="0.2">
      <c r="A44" s="25" t="s">
        <v>155</v>
      </c>
      <c r="B44" s="29"/>
      <c r="C44" s="29"/>
      <c r="D44" s="29"/>
      <c r="E44" s="44">
        <f>Scenarios!F27</f>
        <v>5000</v>
      </c>
    </row>
    <row r="45" spans="1:5" ht="15" customHeight="1" x14ac:dyDescent="0.2">
      <c r="A45" s="4" t="s">
        <v>156</v>
      </c>
      <c r="B45" s="28"/>
      <c r="C45" s="28"/>
      <c r="D45" s="28"/>
      <c r="E45" s="13">
        <f>Scenarios!F28</f>
        <v>10000</v>
      </c>
    </row>
    <row r="46" spans="1:5" ht="15" customHeight="1" x14ac:dyDescent="0.2">
      <c r="A46" s="25" t="s">
        <v>157</v>
      </c>
      <c r="B46" s="29"/>
      <c r="C46" s="29"/>
      <c r="D46" s="29"/>
      <c r="E46" s="44">
        <f>Scenarios!F29</f>
        <v>1500</v>
      </c>
    </row>
    <row r="47" spans="1:5" ht="15" customHeight="1" x14ac:dyDescent="0.2">
      <c r="A47" s="4" t="s">
        <v>158</v>
      </c>
      <c r="B47" s="28"/>
      <c r="C47" s="28"/>
      <c r="D47" s="28"/>
      <c r="E47" s="13">
        <f>Scenarios!F30</f>
        <v>7000</v>
      </c>
    </row>
    <row r="48" spans="1:5" ht="15" customHeight="1" x14ac:dyDescent="0.2">
      <c r="A48" s="25" t="s">
        <v>159</v>
      </c>
      <c r="B48" s="29"/>
      <c r="C48" s="29"/>
      <c r="D48" s="29"/>
      <c r="E48" s="44">
        <f>Scenarios!F31</f>
        <v>5500</v>
      </c>
    </row>
    <row r="49" spans="1:7" ht="15" customHeight="1" x14ac:dyDescent="0.2">
      <c r="A49" s="26" t="s">
        <v>160</v>
      </c>
      <c r="B49" s="26"/>
      <c r="C49" s="26"/>
      <c r="D49" s="26"/>
      <c r="E49" s="27">
        <f>SUM(E41:E48)</f>
        <v>213500</v>
      </c>
    </row>
    <row r="51" spans="1:7" ht="19.5" customHeight="1" x14ac:dyDescent="0.2">
      <c r="A51" s="125" t="s">
        <v>161</v>
      </c>
      <c r="B51" s="125"/>
      <c r="C51" s="125"/>
      <c r="D51" s="125"/>
      <c r="E51" s="125"/>
      <c r="F51" s="45" t="s">
        <v>162</v>
      </c>
      <c r="G51" s="46" t="s">
        <v>269</v>
      </c>
    </row>
    <row r="52" spans="1:7" ht="24" customHeight="1" x14ac:dyDescent="0.2">
      <c r="A52" s="15" t="s">
        <v>164</v>
      </c>
      <c r="B52" s="15" t="s">
        <v>165</v>
      </c>
      <c r="C52" s="15" t="s">
        <v>166</v>
      </c>
      <c r="D52" s="15" t="s">
        <v>167</v>
      </c>
      <c r="E52" s="15" t="s">
        <v>168</v>
      </c>
      <c r="F52" s="15" t="s">
        <v>169</v>
      </c>
      <c r="G52" s="15" t="s">
        <v>109</v>
      </c>
    </row>
    <row r="53" spans="1:7" ht="15" customHeight="1" x14ac:dyDescent="0.2">
      <c r="A53" s="4" t="s">
        <v>170</v>
      </c>
      <c r="B53" s="46" t="s">
        <v>163</v>
      </c>
      <c r="C53" s="9">
        <v>1</v>
      </c>
      <c r="D53" s="9">
        <v>2</v>
      </c>
      <c r="E53" s="9">
        <v>24</v>
      </c>
      <c r="F53" s="14">
        <f>Scenarios!$F$35</f>
        <v>1</v>
      </c>
      <c r="G53" s="17">
        <f t="shared" ref="G53:G68" si="0">IF(OR($G$51="OFF",B53="OFF"),0,C53*D53*E53*F53)</f>
        <v>0</v>
      </c>
    </row>
    <row r="54" spans="1:7" ht="15" customHeight="1" x14ac:dyDescent="0.2">
      <c r="A54" s="25" t="s">
        <v>171</v>
      </c>
      <c r="B54" s="46" t="s">
        <v>163</v>
      </c>
      <c r="C54" s="9">
        <v>1</v>
      </c>
      <c r="D54" s="9">
        <v>2</v>
      </c>
      <c r="E54" s="9">
        <v>24</v>
      </c>
      <c r="F54" s="47">
        <f>Scenarios!$F$35</f>
        <v>1</v>
      </c>
      <c r="G54" s="19">
        <f t="shared" si="0"/>
        <v>0</v>
      </c>
    </row>
    <row r="55" spans="1:7" ht="15" customHeight="1" x14ac:dyDescent="0.2">
      <c r="A55" s="4" t="s">
        <v>172</v>
      </c>
      <c r="B55" s="46" t="s">
        <v>163</v>
      </c>
      <c r="C55" s="9">
        <v>1</v>
      </c>
      <c r="D55" s="9">
        <v>2</v>
      </c>
      <c r="E55" s="9">
        <v>24</v>
      </c>
      <c r="F55" s="14">
        <f>Scenarios!$F$35</f>
        <v>1</v>
      </c>
      <c r="G55" s="17">
        <f t="shared" si="0"/>
        <v>0</v>
      </c>
    </row>
    <row r="56" spans="1:7" ht="15" customHeight="1" x14ac:dyDescent="0.2">
      <c r="A56" s="25" t="s">
        <v>173</v>
      </c>
      <c r="B56" s="46" t="s">
        <v>163</v>
      </c>
      <c r="C56" s="9">
        <v>1</v>
      </c>
      <c r="D56" s="9">
        <v>2</v>
      </c>
      <c r="E56" s="9">
        <v>24</v>
      </c>
      <c r="F56" s="47">
        <f>Scenarios!$F$35</f>
        <v>1</v>
      </c>
      <c r="G56" s="19">
        <f t="shared" si="0"/>
        <v>0</v>
      </c>
    </row>
    <row r="57" spans="1:7" ht="15" customHeight="1" x14ac:dyDescent="0.2">
      <c r="A57" s="4" t="s">
        <v>174</v>
      </c>
      <c r="B57" s="46" t="s">
        <v>163</v>
      </c>
      <c r="C57" s="9">
        <v>1</v>
      </c>
      <c r="D57" s="9">
        <v>2</v>
      </c>
      <c r="E57" s="9">
        <v>24</v>
      </c>
      <c r="F57" s="14">
        <f>Scenarios!$F$35</f>
        <v>1</v>
      </c>
      <c r="G57" s="17">
        <f t="shared" si="0"/>
        <v>0</v>
      </c>
    </row>
    <row r="58" spans="1:7" ht="15" customHeight="1" x14ac:dyDescent="0.2">
      <c r="A58" s="25" t="s">
        <v>175</v>
      </c>
      <c r="B58" s="46" t="s">
        <v>163</v>
      </c>
      <c r="C58" s="9">
        <v>1</v>
      </c>
      <c r="D58" s="9">
        <v>2</v>
      </c>
      <c r="E58" s="9">
        <v>24</v>
      </c>
      <c r="F58" s="47">
        <f>Scenarios!$F$35</f>
        <v>1</v>
      </c>
      <c r="G58" s="19">
        <f t="shared" si="0"/>
        <v>0</v>
      </c>
    </row>
    <row r="59" spans="1:7" ht="15" customHeight="1" x14ac:dyDescent="0.2">
      <c r="A59" s="4" t="s">
        <v>176</v>
      </c>
      <c r="B59" s="46" t="s">
        <v>163</v>
      </c>
      <c r="C59" s="9">
        <v>1</v>
      </c>
      <c r="D59" s="9">
        <v>2</v>
      </c>
      <c r="E59" s="9">
        <v>24</v>
      </c>
      <c r="F59" s="14">
        <f>Scenarios!$F$35</f>
        <v>1</v>
      </c>
      <c r="G59" s="17">
        <f t="shared" si="0"/>
        <v>0</v>
      </c>
    </row>
    <row r="60" spans="1:7" ht="15" customHeight="1" x14ac:dyDescent="0.2">
      <c r="A60" s="25" t="s">
        <v>177</v>
      </c>
      <c r="B60" s="46" t="s">
        <v>163</v>
      </c>
      <c r="C60" s="9">
        <v>1</v>
      </c>
      <c r="D60" s="9">
        <v>2</v>
      </c>
      <c r="E60" s="9">
        <v>24</v>
      </c>
      <c r="F60" s="47">
        <f>Scenarios!$F$35</f>
        <v>1</v>
      </c>
      <c r="G60" s="19">
        <f t="shared" si="0"/>
        <v>0</v>
      </c>
    </row>
    <row r="61" spans="1:7" ht="15" customHeight="1" x14ac:dyDescent="0.2">
      <c r="A61" s="4" t="s">
        <v>178</v>
      </c>
      <c r="B61" s="46" t="s">
        <v>163</v>
      </c>
      <c r="C61" s="9">
        <v>1</v>
      </c>
      <c r="D61" s="9">
        <v>2</v>
      </c>
      <c r="E61" s="9">
        <v>24</v>
      </c>
      <c r="F61" s="14">
        <f>Scenarios!$F$35</f>
        <v>1</v>
      </c>
      <c r="G61" s="17">
        <f t="shared" si="0"/>
        <v>0</v>
      </c>
    </row>
    <row r="62" spans="1:7" ht="15" customHeight="1" x14ac:dyDescent="0.2">
      <c r="A62" s="25" t="s">
        <v>179</v>
      </c>
      <c r="B62" s="46" t="s">
        <v>163</v>
      </c>
      <c r="C62" s="9">
        <v>1</v>
      </c>
      <c r="D62" s="9">
        <v>2</v>
      </c>
      <c r="E62" s="9">
        <v>24</v>
      </c>
      <c r="F62" s="47">
        <f>Scenarios!$F$35</f>
        <v>1</v>
      </c>
      <c r="G62" s="19">
        <f t="shared" si="0"/>
        <v>0</v>
      </c>
    </row>
    <row r="63" spans="1:7" ht="15" customHeight="1" x14ac:dyDescent="0.2">
      <c r="A63" s="4" t="s">
        <v>180</v>
      </c>
      <c r="B63" s="46" t="s">
        <v>163</v>
      </c>
      <c r="C63" s="9">
        <v>1</v>
      </c>
      <c r="D63" s="9">
        <v>2</v>
      </c>
      <c r="E63" s="9">
        <v>24</v>
      </c>
      <c r="F63" s="14">
        <f>Scenarios!$F$35</f>
        <v>1</v>
      </c>
      <c r="G63" s="17">
        <f t="shared" si="0"/>
        <v>0</v>
      </c>
    </row>
    <row r="64" spans="1:7" ht="15" customHeight="1" x14ac:dyDescent="0.2">
      <c r="A64" s="25" t="s">
        <v>181</v>
      </c>
      <c r="B64" s="46" t="s">
        <v>163</v>
      </c>
      <c r="C64" s="9">
        <v>1</v>
      </c>
      <c r="D64" s="9">
        <v>2</v>
      </c>
      <c r="E64" s="9">
        <v>24</v>
      </c>
      <c r="F64" s="47">
        <f>Scenarios!$F$35</f>
        <v>1</v>
      </c>
      <c r="G64" s="19">
        <f t="shared" si="0"/>
        <v>0</v>
      </c>
    </row>
    <row r="65" spans="1:10" ht="15" customHeight="1" x14ac:dyDescent="0.2">
      <c r="A65" s="4" t="s">
        <v>182</v>
      </c>
      <c r="B65" s="46" t="s">
        <v>163</v>
      </c>
      <c r="C65" s="9">
        <v>1</v>
      </c>
      <c r="D65" s="9">
        <v>2</v>
      </c>
      <c r="E65" s="9">
        <v>24</v>
      </c>
      <c r="F65" s="14">
        <f>Scenarios!$F$35</f>
        <v>1</v>
      </c>
      <c r="G65" s="17">
        <f t="shared" si="0"/>
        <v>0</v>
      </c>
    </row>
    <row r="66" spans="1:10" ht="15" customHeight="1" x14ac:dyDescent="0.2">
      <c r="A66" s="25" t="s">
        <v>183</v>
      </c>
      <c r="B66" s="46" t="s">
        <v>163</v>
      </c>
      <c r="C66" s="9">
        <v>1</v>
      </c>
      <c r="D66" s="9">
        <v>2</v>
      </c>
      <c r="E66" s="9">
        <v>24</v>
      </c>
      <c r="F66" s="47">
        <f>Scenarios!$F$35</f>
        <v>1</v>
      </c>
      <c r="G66" s="19">
        <f t="shared" si="0"/>
        <v>0</v>
      </c>
    </row>
    <row r="67" spans="1:10" ht="15" customHeight="1" x14ac:dyDescent="0.2">
      <c r="A67" s="4" t="s">
        <v>184</v>
      </c>
      <c r="B67" s="46" t="s">
        <v>163</v>
      </c>
      <c r="C67" s="9">
        <v>1</v>
      </c>
      <c r="D67" s="9">
        <v>2</v>
      </c>
      <c r="E67" s="9">
        <v>24</v>
      </c>
      <c r="F67" s="14">
        <f>Scenarios!$F$35</f>
        <v>1</v>
      </c>
      <c r="G67" s="17">
        <f t="shared" si="0"/>
        <v>0</v>
      </c>
    </row>
    <row r="68" spans="1:10" ht="15" customHeight="1" x14ac:dyDescent="0.2">
      <c r="A68" s="25" t="s">
        <v>185</v>
      </c>
      <c r="B68" s="46" t="s">
        <v>163</v>
      </c>
      <c r="C68" s="9">
        <v>1</v>
      </c>
      <c r="D68" s="9">
        <v>2</v>
      </c>
      <c r="E68" s="9">
        <v>24</v>
      </c>
      <c r="F68" s="47">
        <f>Scenarios!$F$35</f>
        <v>1</v>
      </c>
      <c r="G68" s="19">
        <f t="shared" si="0"/>
        <v>0</v>
      </c>
    </row>
    <row r="69" spans="1:10" ht="15" customHeight="1" x14ac:dyDescent="0.2">
      <c r="A69" s="26" t="s">
        <v>186</v>
      </c>
      <c r="B69" s="26"/>
      <c r="C69" s="26"/>
      <c r="D69" s="26"/>
      <c r="E69" s="26"/>
      <c r="F69" s="26"/>
      <c r="G69" s="27">
        <f>SUM(G53:G68)</f>
        <v>0</v>
      </c>
    </row>
    <row r="70" spans="1:10" ht="15" customHeight="1" x14ac:dyDescent="0.2">
      <c r="A70" s="4" t="s">
        <v>187</v>
      </c>
      <c r="B70" s="46" t="s">
        <v>163</v>
      </c>
      <c r="C70" s="4">
        <f>Dashboard!B18+Dashboard!B20</f>
        <v>6</v>
      </c>
      <c r="D70" s="4" t="s">
        <v>188</v>
      </c>
      <c r="E70" s="28"/>
      <c r="F70" s="13">
        <f>Scenarios!F36</f>
        <v>100</v>
      </c>
      <c r="G70" s="17">
        <f>IF(B70="OFF",0,C70*F70)</f>
        <v>600</v>
      </c>
    </row>
    <row r="71" spans="1:10" ht="15" customHeight="1" x14ac:dyDescent="0.2">
      <c r="A71" s="130" t="s">
        <v>189</v>
      </c>
      <c r="B71" s="130"/>
      <c r="C71" s="130"/>
      <c r="D71" s="130"/>
      <c r="E71" s="130"/>
      <c r="F71" s="130"/>
      <c r="G71" s="130"/>
    </row>
    <row r="72" spans="1:10" ht="19.5" customHeight="1" x14ac:dyDescent="0.2">
      <c r="A72" s="125" t="s">
        <v>190</v>
      </c>
      <c r="B72" s="125"/>
      <c r="C72" s="125"/>
      <c r="D72" s="125"/>
      <c r="E72" s="125"/>
      <c r="F72" s="125"/>
      <c r="G72" s="125"/>
      <c r="H72" s="125"/>
      <c r="I72" s="125"/>
      <c r="J72" s="125"/>
    </row>
    <row r="73" spans="1:10" ht="24" customHeight="1" x14ac:dyDescent="0.2">
      <c r="A73" s="15" t="s">
        <v>191</v>
      </c>
      <c r="B73" s="15" t="s">
        <v>192</v>
      </c>
      <c r="C73" s="15" t="s">
        <v>109</v>
      </c>
      <c r="D73" s="48" t="s">
        <v>193</v>
      </c>
      <c r="E73" s="49" t="s">
        <v>194</v>
      </c>
      <c r="F73" s="50" t="s">
        <v>195</v>
      </c>
      <c r="G73" s="15" t="s">
        <v>165</v>
      </c>
      <c r="H73" s="15" t="s">
        <v>196</v>
      </c>
      <c r="I73" s="15" t="s">
        <v>197</v>
      </c>
      <c r="J73" s="15" t="s">
        <v>198</v>
      </c>
    </row>
    <row r="74" spans="1:10" ht="25.5" customHeight="1" x14ac:dyDescent="0.2">
      <c r="A74" s="4" t="s">
        <v>78</v>
      </c>
      <c r="B74" s="4" t="s">
        <v>199</v>
      </c>
      <c r="C74" s="51">
        <v>10000</v>
      </c>
      <c r="D74" s="52">
        <v>0.4</v>
      </c>
      <c r="E74" s="52">
        <v>0.75</v>
      </c>
      <c r="F74" s="52">
        <v>1</v>
      </c>
      <c r="G74" s="46" t="s">
        <v>163</v>
      </c>
      <c r="H74" s="43">
        <f>J74*CHOOSE(Scenarios!$H$2,D74,E74,F74)</f>
        <v>7500</v>
      </c>
      <c r="I74" s="53" t="s">
        <v>200</v>
      </c>
      <c r="J74" s="54">
        <f t="shared" ref="J74:J116" si="1">IF(G74="OFF",0,C74)</f>
        <v>10000</v>
      </c>
    </row>
    <row r="75" spans="1:10" ht="25.5" customHeight="1" x14ac:dyDescent="0.2">
      <c r="A75" s="25" t="s">
        <v>78</v>
      </c>
      <c r="B75" s="25" t="s">
        <v>201</v>
      </c>
      <c r="C75" s="51">
        <v>10000</v>
      </c>
      <c r="D75" s="52">
        <v>0.4</v>
      </c>
      <c r="E75" s="52">
        <v>0.75</v>
      </c>
      <c r="F75" s="52">
        <v>1</v>
      </c>
      <c r="G75" s="46" t="s">
        <v>163</v>
      </c>
      <c r="H75" s="35">
        <f>J75*CHOOSE(Scenarios!$H$2,D75,E75,F75)</f>
        <v>7500</v>
      </c>
      <c r="I75" s="55" t="s">
        <v>202</v>
      </c>
      <c r="J75" s="56">
        <f t="shared" si="1"/>
        <v>10000</v>
      </c>
    </row>
    <row r="76" spans="1:10" ht="15" customHeight="1" x14ac:dyDescent="0.2">
      <c r="A76" s="4" t="s">
        <v>78</v>
      </c>
      <c r="B76" s="4" t="s">
        <v>203</v>
      </c>
      <c r="C76" s="51">
        <v>1000</v>
      </c>
      <c r="D76" s="52">
        <v>0.5</v>
      </c>
      <c r="E76" s="52">
        <v>1</v>
      </c>
      <c r="F76" s="52">
        <v>1</v>
      </c>
      <c r="G76" s="46" t="s">
        <v>163</v>
      </c>
      <c r="H76" s="43">
        <f>J76*CHOOSE(Scenarios!$H$2,D76,E76,F76)</f>
        <v>1000</v>
      </c>
      <c r="I76" s="53" t="s">
        <v>204</v>
      </c>
      <c r="J76" s="54">
        <f t="shared" si="1"/>
        <v>1000</v>
      </c>
    </row>
    <row r="77" spans="1:10" ht="15" customHeight="1" x14ac:dyDescent="0.2">
      <c r="A77" s="25" t="s">
        <v>78</v>
      </c>
      <c r="B77" s="25" t="s">
        <v>205</v>
      </c>
      <c r="C77" s="51">
        <v>1000</v>
      </c>
      <c r="D77" s="52">
        <v>0.3</v>
      </c>
      <c r="E77" s="52">
        <v>0.6</v>
      </c>
      <c r="F77" s="52">
        <v>1</v>
      </c>
      <c r="G77" s="46" t="s">
        <v>163</v>
      </c>
      <c r="H77" s="35">
        <f>J77*CHOOSE(Scenarios!$H$2,D77,E77,F77)</f>
        <v>600</v>
      </c>
      <c r="I77" s="55" t="s">
        <v>206</v>
      </c>
      <c r="J77" s="56">
        <f t="shared" si="1"/>
        <v>1000</v>
      </c>
    </row>
    <row r="78" spans="1:10" ht="15" customHeight="1" x14ac:dyDescent="0.2">
      <c r="A78" s="4" t="s">
        <v>78</v>
      </c>
      <c r="B78" s="4" t="s">
        <v>207</v>
      </c>
      <c r="C78" s="51">
        <v>5000</v>
      </c>
      <c r="D78" s="52">
        <v>0.4</v>
      </c>
      <c r="E78" s="52">
        <v>0.75</v>
      </c>
      <c r="F78" s="52">
        <v>1</v>
      </c>
      <c r="G78" s="46" t="s">
        <v>163</v>
      </c>
      <c r="H78" s="43">
        <f>J78*CHOOSE(Scenarios!$H$2,D78,E78,F78)</f>
        <v>3750</v>
      </c>
      <c r="I78" s="53" t="s">
        <v>208</v>
      </c>
      <c r="J78" s="54">
        <f t="shared" si="1"/>
        <v>5000</v>
      </c>
    </row>
    <row r="79" spans="1:10" ht="15" customHeight="1" x14ac:dyDescent="0.2">
      <c r="A79" s="25" t="s">
        <v>78</v>
      </c>
      <c r="B79" s="25" t="s">
        <v>209</v>
      </c>
      <c r="C79" s="51">
        <v>1000</v>
      </c>
      <c r="D79" s="52">
        <v>0.3</v>
      </c>
      <c r="E79" s="52">
        <v>0.5</v>
      </c>
      <c r="F79" s="52">
        <v>1</v>
      </c>
      <c r="G79" s="46" t="s">
        <v>163</v>
      </c>
      <c r="H79" s="35">
        <f>J79*CHOOSE(Scenarios!$H$2,D79,E79,F79)</f>
        <v>500</v>
      </c>
      <c r="I79" s="55" t="s">
        <v>208</v>
      </c>
      <c r="J79" s="56">
        <f t="shared" si="1"/>
        <v>1000</v>
      </c>
    </row>
    <row r="80" spans="1:10" ht="15" customHeight="1" x14ac:dyDescent="0.2">
      <c r="A80" s="4" t="s">
        <v>78</v>
      </c>
      <c r="B80" s="4" t="s">
        <v>210</v>
      </c>
      <c r="C80" s="51">
        <v>2000</v>
      </c>
      <c r="D80" s="52">
        <v>0.4</v>
      </c>
      <c r="E80" s="52">
        <v>0.5</v>
      </c>
      <c r="F80" s="52">
        <v>1</v>
      </c>
      <c r="G80" s="46" t="s">
        <v>163</v>
      </c>
      <c r="H80" s="43">
        <f>J80*CHOOSE(Scenarios!$H$2,D80,E80,F80)</f>
        <v>1000</v>
      </c>
      <c r="I80" s="53" t="s">
        <v>211</v>
      </c>
      <c r="J80" s="54">
        <f t="shared" si="1"/>
        <v>2000</v>
      </c>
    </row>
    <row r="81" spans="1:10" ht="15" customHeight="1" x14ac:dyDescent="0.2">
      <c r="A81" s="25" t="s">
        <v>78</v>
      </c>
      <c r="B81" s="25" t="s">
        <v>212</v>
      </c>
      <c r="C81" s="51">
        <v>16000</v>
      </c>
      <c r="D81" s="52">
        <v>0.5</v>
      </c>
      <c r="E81" s="52">
        <v>0.75</v>
      </c>
      <c r="F81" s="52">
        <v>1</v>
      </c>
      <c r="G81" s="46" t="s">
        <v>163</v>
      </c>
      <c r="H81" s="35">
        <f>J81*CHOOSE(Scenarios!$H$2,D81,E81,F81)</f>
        <v>12000</v>
      </c>
      <c r="I81" s="55" t="s">
        <v>213</v>
      </c>
      <c r="J81" s="56">
        <f t="shared" si="1"/>
        <v>16000</v>
      </c>
    </row>
    <row r="82" spans="1:10" ht="15" customHeight="1" x14ac:dyDescent="0.2">
      <c r="A82" s="4" t="s">
        <v>78</v>
      </c>
      <c r="B82" s="4" t="s">
        <v>214</v>
      </c>
      <c r="C82" s="51">
        <v>1500</v>
      </c>
      <c r="D82" s="52">
        <v>1</v>
      </c>
      <c r="E82" s="52">
        <v>1</v>
      </c>
      <c r="F82" s="52">
        <v>1</v>
      </c>
      <c r="G82" s="46" t="s">
        <v>163</v>
      </c>
      <c r="H82" s="43">
        <f>J82*CHOOSE(Scenarios!$H$2,D82,E82,F82)</f>
        <v>1500</v>
      </c>
      <c r="I82" s="53" t="s">
        <v>215</v>
      </c>
      <c r="J82" s="54">
        <f t="shared" si="1"/>
        <v>1500</v>
      </c>
    </row>
    <row r="83" spans="1:10" ht="15" customHeight="1" x14ac:dyDescent="0.2">
      <c r="A83" s="25" t="s">
        <v>79</v>
      </c>
      <c r="B83" s="25" t="s">
        <v>216</v>
      </c>
      <c r="C83" s="51">
        <v>335</v>
      </c>
      <c r="D83" s="52">
        <v>1</v>
      </c>
      <c r="E83" s="52">
        <v>1</v>
      </c>
      <c r="F83" s="52">
        <v>1</v>
      </c>
      <c r="G83" s="46" t="s">
        <v>163</v>
      </c>
      <c r="H83" s="35">
        <f>J83*CHOOSE(Scenarios!$H$2,D83,E83,F83)</f>
        <v>335</v>
      </c>
      <c r="I83" s="55" t="s">
        <v>215</v>
      </c>
      <c r="J83" s="56">
        <f t="shared" si="1"/>
        <v>335</v>
      </c>
    </row>
    <row r="84" spans="1:10" ht="15" customHeight="1" x14ac:dyDescent="0.2">
      <c r="A84" s="4" t="s">
        <v>79</v>
      </c>
      <c r="B84" s="4" t="s">
        <v>217</v>
      </c>
      <c r="C84" s="51">
        <v>6642</v>
      </c>
      <c r="D84" s="52">
        <v>1</v>
      </c>
      <c r="E84" s="52">
        <v>1</v>
      </c>
      <c r="F84" s="52">
        <v>1</v>
      </c>
      <c r="G84" s="46" t="s">
        <v>163</v>
      </c>
      <c r="H84" s="43">
        <f>J84*CHOOSE(Scenarios!$H$2,D84,E84,F84)</f>
        <v>6642</v>
      </c>
      <c r="I84" s="53" t="s">
        <v>215</v>
      </c>
      <c r="J84" s="54">
        <f t="shared" si="1"/>
        <v>6642</v>
      </c>
    </row>
    <row r="85" spans="1:10" ht="15" customHeight="1" x14ac:dyDescent="0.2">
      <c r="A85" s="25" t="s">
        <v>79</v>
      </c>
      <c r="B85" s="25" t="s">
        <v>218</v>
      </c>
      <c r="C85" s="51">
        <v>2026.14</v>
      </c>
      <c r="D85" s="52">
        <v>1</v>
      </c>
      <c r="E85" s="52">
        <v>1</v>
      </c>
      <c r="F85" s="52">
        <v>1</v>
      </c>
      <c r="G85" s="46" t="s">
        <v>163</v>
      </c>
      <c r="H85" s="35">
        <f>J85*CHOOSE(Scenarios!$H$2,D85,E85,F85)</f>
        <v>2026.14</v>
      </c>
      <c r="I85" s="55" t="s">
        <v>215</v>
      </c>
      <c r="J85" s="56">
        <f t="shared" si="1"/>
        <v>2026.14</v>
      </c>
    </row>
    <row r="86" spans="1:10" ht="15" customHeight="1" x14ac:dyDescent="0.2">
      <c r="A86" s="4" t="s">
        <v>80</v>
      </c>
      <c r="B86" s="4" t="s">
        <v>219</v>
      </c>
      <c r="C86" s="51">
        <v>22000</v>
      </c>
      <c r="D86" s="52">
        <v>1</v>
      </c>
      <c r="E86" s="52">
        <v>1</v>
      </c>
      <c r="F86" s="52">
        <v>1</v>
      </c>
      <c r="G86" s="46" t="s">
        <v>163</v>
      </c>
      <c r="H86" s="43">
        <f>J86*CHOOSE(Scenarios!$H$2,D86,E86,F86)</f>
        <v>22000</v>
      </c>
      <c r="I86" s="57"/>
      <c r="J86" s="54">
        <f t="shared" si="1"/>
        <v>22000</v>
      </c>
    </row>
    <row r="87" spans="1:10" ht="15" customHeight="1" x14ac:dyDescent="0.2">
      <c r="A87" s="25" t="s">
        <v>80</v>
      </c>
      <c r="B87" s="25" t="s">
        <v>220</v>
      </c>
      <c r="C87" s="51">
        <v>5000</v>
      </c>
      <c r="D87" s="52">
        <v>0.5</v>
      </c>
      <c r="E87" s="52">
        <v>0.8</v>
      </c>
      <c r="F87" s="52">
        <v>1</v>
      </c>
      <c r="G87" s="46" t="s">
        <v>163</v>
      </c>
      <c r="H87" s="35">
        <f>J87*CHOOSE(Scenarios!$H$2,D87,E87,F87)</f>
        <v>4000</v>
      </c>
      <c r="I87" s="55" t="s">
        <v>213</v>
      </c>
      <c r="J87" s="56">
        <f t="shared" si="1"/>
        <v>5000</v>
      </c>
    </row>
    <row r="88" spans="1:10" ht="15" customHeight="1" x14ac:dyDescent="0.2">
      <c r="A88" s="4" t="s">
        <v>80</v>
      </c>
      <c r="B88" s="4" t="s">
        <v>221</v>
      </c>
      <c r="C88" s="51">
        <v>5000</v>
      </c>
      <c r="D88" s="52">
        <v>0.5</v>
      </c>
      <c r="E88" s="52">
        <v>0.8</v>
      </c>
      <c r="F88" s="52">
        <v>1</v>
      </c>
      <c r="G88" s="46" t="s">
        <v>163</v>
      </c>
      <c r="H88" s="43">
        <f>J88*CHOOSE(Scenarios!$H$2,D88,E88,F88)</f>
        <v>4000</v>
      </c>
      <c r="I88" s="53" t="s">
        <v>213</v>
      </c>
      <c r="J88" s="54">
        <f t="shared" si="1"/>
        <v>5000</v>
      </c>
    </row>
    <row r="89" spans="1:10" ht="15" customHeight="1" x14ac:dyDescent="0.2">
      <c r="A89" s="25" t="s">
        <v>80</v>
      </c>
      <c r="B89" s="25" t="s">
        <v>222</v>
      </c>
      <c r="C89" s="51">
        <v>5000</v>
      </c>
      <c r="D89" s="52">
        <v>0.5</v>
      </c>
      <c r="E89" s="52">
        <v>0.8</v>
      </c>
      <c r="F89" s="52">
        <v>1</v>
      </c>
      <c r="G89" s="46" t="s">
        <v>163</v>
      </c>
      <c r="H89" s="35">
        <f>J89*CHOOSE(Scenarios!$H$2,D89,E89,F89)</f>
        <v>4000</v>
      </c>
      <c r="I89" s="55" t="s">
        <v>213</v>
      </c>
      <c r="J89" s="56">
        <f t="shared" si="1"/>
        <v>5000</v>
      </c>
    </row>
    <row r="90" spans="1:10" ht="15" customHeight="1" x14ac:dyDescent="0.2">
      <c r="A90" s="4" t="s">
        <v>80</v>
      </c>
      <c r="B90" s="4" t="s">
        <v>223</v>
      </c>
      <c r="C90" s="51">
        <v>21100</v>
      </c>
      <c r="D90" s="52">
        <v>1</v>
      </c>
      <c r="E90" s="52">
        <v>1</v>
      </c>
      <c r="F90" s="52">
        <v>1</v>
      </c>
      <c r="G90" s="46" t="s">
        <v>163</v>
      </c>
      <c r="H90" s="43">
        <f>J90*CHOOSE(Scenarios!$H$2,D90,E90,F90)</f>
        <v>21100</v>
      </c>
      <c r="I90" s="57"/>
      <c r="J90" s="54">
        <f t="shared" si="1"/>
        <v>21100</v>
      </c>
    </row>
    <row r="91" spans="1:10" ht="15" customHeight="1" x14ac:dyDescent="0.2">
      <c r="A91" s="25" t="s">
        <v>81</v>
      </c>
      <c r="B91" s="25" t="s">
        <v>224</v>
      </c>
      <c r="C91" s="51">
        <v>1500</v>
      </c>
      <c r="D91" s="52">
        <v>0.8</v>
      </c>
      <c r="E91" s="52">
        <v>1</v>
      </c>
      <c r="F91" s="52">
        <v>1</v>
      </c>
      <c r="G91" s="46" t="s">
        <v>163</v>
      </c>
      <c r="H91" s="35">
        <f>J91*CHOOSE(Scenarios!$H$2,D91,E91,F91)</f>
        <v>1500</v>
      </c>
      <c r="I91" s="117" t="s">
        <v>427</v>
      </c>
      <c r="J91" s="56">
        <f t="shared" si="1"/>
        <v>1500</v>
      </c>
    </row>
    <row r="92" spans="1:10" ht="15" customHeight="1" x14ac:dyDescent="0.2">
      <c r="A92" s="4" t="s">
        <v>81</v>
      </c>
      <c r="B92" s="4" t="s">
        <v>225</v>
      </c>
      <c r="C92" s="51">
        <v>2000</v>
      </c>
      <c r="D92" s="52">
        <v>0</v>
      </c>
      <c r="E92" s="52">
        <v>0</v>
      </c>
      <c r="F92" s="52">
        <v>1</v>
      </c>
      <c r="G92" s="46" t="s">
        <v>163</v>
      </c>
      <c r="H92" s="43">
        <f>J92*CHOOSE(Scenarios!$H$2,D92,E92,F92)</f>
        <v>0</v>
      </c>
      <c r="I92" s="53" t="s">
        <v>226</v>
      </c>
      <c r="J92" s="54">
        <f t="shared" si="1"/>
        <v>2000</v>
      </c>
    </row>
    <row r="93" spans="1:10" ht="15" customHeight="1" x14ac:dyDescent="0.2">
      <c r="A93" s="25" t="s">
        <v>81</v>
      </c>
      <c r="B93" s="25" t="s">
        <v>227</v>
      </c>
      <c r="C93" s="51">
        <v>500</v>
      </c>
      <c r="D93" s="52">
        <v>0</v>
      </c>
      <c r="E93" s="52">
        <v>0</v>
      </c>
      <c r="F93" s="52">
        <v>1</v>
      </c>
      <c r="G93" s="46" t="s">
        <v>163</v>
      </c>
      <c r="H93" s="35">
        <f>J93*CHOOSE(Scenarios!$H$2,D93,E93,F93)</f>
        <v>0</v>
      </c>
      <c r="I93" s="55" t="s">
        <v>226</v>
      </c>
      <c r="J93" s="56">
        <f t="shared" si="1"/>
        <v>500</v>
      </c>
    </row>
    <row r="94" spans="1:10" ht="15" customHeight="1" x14ac:dyDescent="0.2">
      <c r="A94" s="4" t="s">
        <v>81</v>
      </c>
      <c r="B94" s="4" t="s">
        <v>228</v>
      </c>
      <c r="C94" s="51">
        <v>6000</v>
      </c>
      <c r="D94" s="52">
        <v>1</v>
      </c>
      <c r="E94" s="52">
        <v>1</v>
      </c>
      <c r="F94" s="52">
        <v>1</v>
      </c>
      <c r="G94" s="46" t="s">
        <v>163</v>
      </c>
      <c r="H94" s="43">
        <f>J94*CHOOSE(Scenarios!$H$2,D94,E94,F94)</f>
        <v>6000</v>
      </c>
      <c r="I94" s="57"/>
      <c r="J94" s="54">
        <f t="shared" si="1"/>
        <v>6000</v>
      </c>
    </row>
    <row r="95" spans="1:10" ht="15" customHeight="1" x14ac:dyDescent="0.2">
      <c r="A95" s="25" t="s">
        <v>81</v>
      </c>
      <c r="B95" s="25" t="s">
        <v>229</v>
      </c>
      <c r="C95" s="51">
        <v>900</v>
      </c>
      <c r="D95" s="52">
        <v>1</v>
      </c>
      <c r="E95" s="52">
        <v>1</v>
      </c>
      <c r="F95" s="52">
        <v>1</v>
      </c>
      <c r="G95" s="46" t="s">
        <v>163</v>
      </c>
      <c r="H95" s="35">
        <f>J95*CHOOSE(Scenarios!$H$2,D95,E95,F95)</f>
        <v>900</v>
      </c>
      <c r="I95" s="58"/>
      <c r="J95" s="56">
        <f t="shared" si="1"/>
        <v>900</v>
      </c>
    </row>
    <row r="96" spans="1:10" ht="15" customHeight="1" x14ac:dyDescent="0.2">
      <c r="A96" s="4" t="s">
        <v>81</v>
      </c>
      <c r="B96" s="4" t="s">
        <v>230</v>
      </c>
      <c r="C96" s="51">
        <v>300</v>
      </c>
      <c r="D96" s="52">
        <v>0</v>
      </c>
      <c r="E96" s="52">
        <v>0.5</v>
      </c>
      <c r="F96" s="52">
        <v>1</v>
      </c>
      <c r="G96" s="46" t="s">
        <v>163</v>
      </c>
      <c r="H96" s="43">
        <f>J96*CHOOSE(Scenarios!$H$2,D96,E96,F96)</f>
        <v>150</v>
      </c>
      <c r="I96" s="53" t="s">
        <v>231</v>
      </c>
      <c r="J96" s="54">
        <f t="shared" si="1"/>
        <v>300</v>
      </c>
    </row>
    <row r="97" spans="1:10" ht="15" customHeight="1" x14ac:dyDescent="0.2">
      <c r="A97" s="25" t="s">
        <v>82</v>
      </c>
      <c r="B97" s="25" t="s">
        <v>232</v>
      </c>
      <c r="C97" s="51">
        <v>10150</v>
      </c>
      <c r="D97" s="52">
        <v>1</v>
      </c>
      <c r="E97" s="52">
        <v>1</v>
      </c>
      <c r="F97" s="52">
        <v>1</v>
      </c>
      <c r="G97" s="46" t="s">
        <v>163</v>
      </c>
      <c r="H97" s="35">
        <f>J97*CHOOSE(Scenarios!$H$2,D97,E97,F97)</f>
        <v>10150</v>
      </c>
      <c r="I97" s="58"/>
      <c r="J97" s="56">
        <f t="shared" si="1"/>
        <v>10150</v>
      </c>
    </row>
    <row r="98" spans="1:10" ht="15" customHeight="1" x14ac:dyDescent="0.2">
      <c r="A98" s="4" t="s">
        <v>82</v>
      </c>
      <c r="B98" s="4" t="s">
        <v>233</v>
      </c>
      <c r="C98" s="51">
        <v>540</v>
      </c>
      <c r="D98" s="52">
        <v>1</v>
      </c>
      <c r="E98" s="52">
        <v>1</v>
      </c>
      <c r="F98" s="52">
        <v>1</v>
      </c>
      <c r="G98" s="46" t="s">
        <v>163</v>
      </c>
      <c r="H98" s="43">
        <f>J98*CHOOSE(Scenarios!$H$2,D98,E98,F98)</f>
        <v>540</v>
      </c>
      <c r="I98" s="57"/>
      <c r="J98" s="54">
        <f t="shared" si="1"/>
        <v>540</v>
      </c>
    </row>
    <row r="99" spans="1:10" ht="15" customHeight="1" x14ac:dyDescent="0.2">
      <c r="A99" s="25" t="s">
        <v>82</v>
      </c>
      <c r="B99" s="25" t="s">
        <v>234</v>
      </c>
      <c r="C99" s="51">
        <v>1600</v>
      </c>
      <c r="D99" s="52">
        <v>1</v>
      </c>
      <c r="E99" s="52">
        <v>1</v>
      </c>
      <c r="F99" s="52">
        <v>1</v>
      </c>
      <c r="G99" s="46" t="s">
        <v>163</v>
      </c>
      <c r="H99" s="35">
        <f>J99*CHOOSE(Scenarios!$H$2,D99,E99,F99)</f>
        <v>1600</v>
      </c>
      <c r="I99" s="58"/>
      <c r="J99" s="56">
        <f t="shared" si="1"/>
        <v>1600</v>
      </c>
    </row>
    <row r="100" spans="1:10" ht="15" customHeight="1" x14ac:dyDescent="0.2">
      <c r="A100" s="4" t="s">
        <v>82</v>
      </c>
      <c r="B100" s="4" t="s">
        <v>235</v>
      </c>
      <c r="C100" s="51">
        <v>3000</v>
      </c>
      <c r="D100" s="52">
        <v>0.5</v>
      </c>
      <c r="E100" s="52">
        <v>0.7</v>
      </c>
      <c r="F100" s="52">
        <v>1</v>
      </c>
      <c r="G100" s="46" t="s">
        <v>163</v>
      </c>
      <c r="H100" s="43">
        <f>J100*CHOOSE(Scenarios!$H$2,D100,E100,F100)</f>
        <v>2100</v>
      </c>
      <c r="I100" s="116" t="s">
        <v>426</v>
      </c>
      <c r="J100" s="54">
        <f t="shared" si="1"/>
        <v>3000</v>
      </c>
    </row>
    <row r="101" spans="1:10" ht="15" customHeight="1" x14ac:dyDescent="0.2">
      <c r="A101" s="25" t="s">
        <v>82</v>
      </c>
      <c r="B101" s="25" t="s">
        <v>236</v>
      </c>
      <c r="C101" s="51">
        <v>1100</v>
      </c>
      <c r="D101" s="52">
        <v>1</v>
      </c>
      <c r="E101" s="52">
        <v>1</v>
      </c>
      <c r="F101" s="52">
        <v>1</v>
      </c>
      <c r="G101" s="46" t="s">
        <v>163</v>
      </c>
      <c r="H101" s="35">
        <f>J101*CHOOSE(Scenarios!$H$2,D101,E101,F101)</f>
        <v>1100</v>
      </c>
      <c r="I101" s="58"/>
      <c r="J101" s="56">
        <f t="shared" si="1"/>
        <v>1100</v>
      </c>
    </row>
    <row r="102" spans="1:10" ht="15" customHeight="1" x14ac:dyDescent="0.2">
      <c r="A102" s="4" t="s">
        <v>83</v>
      </c>
      <c r="B102" s="4" t="s">
        <v>237</v>
      </c>
      <c r="C102" s="51">
        <v>8000</v>
      </c>
      <c r="D102" s="52">
        <v>1</v>
      </c>
      <c r="E102" s="52">
        <v>1</v>
      </c>
      <c r="F102" s="52">
        <v>1</v>
      </c>
      <c r="G102" s="46" t="s">
        <v>163</v>
      </c>
      <c r="H102" s="43">
        <f>J102*CHOOSE(Scenarios!$H$2,D102,E102,F102)</f>
        <v>8000</v>
      </c>
      <c r="I102" s="57"/>
      <c r="J102" s="54">
        <f t="shared" si="1"/>
        <v>8000</v>
      </c>
    </row>
    <row r="103" spans="1:10" ht="25.5" customHeight="1" x14ac:dyDescent="0.2">
      <c r="A103" s="25" t="s">
        <v>83</v>
      </c>
      <c r="B103" s="25" t="s">
        <v>238</v>
      </c>
      <c r="C103" s="51">
        <v>1400</v>
      </c>
      <c r="D103" s="52">
        <v>0</v>
      </c>
      <c r="E103" s="52">
        <v>0</v>
      </c>
      <c r="F103" s="52">
        <v>1</v>
      </c>
      <c r="G103" s="46" t="s">
        <v>163</v>
      </c>
      <c r="H103" s="35">
        <f>J103*CHOOSE(Scenarios!$H$2,D103,E103,F103)</f>
        <v>0</v>
      </c>
      <c r="I103" s="55" t="s">
        <v>239</v>
      </c>
      <c r="J103" s="56">
        <f t="shared" si="1"/>
        <v>1400</v>
      </c>
    </row>
    <row r="104" spans="1:10" ht="25.5" customHeight="1" x14ac:dyDescent="0.2">
      <c r="A104" s="4" t="s">
        <v>83</v>
      </c>
      <c r="B104" s="4" t="s">
        <v>240</v>
      </c>
      <c r="C104" s="59">
        <f>Dashboard!B8*Dashboard!B9*Dashboard!B10*Dashboard!B11</f>
        <v>15967.2657375</v>
      </c>
      <c r="D104" s="52">
        <v>1</v>
      </c>
      <c r="E104" s="52">
        <v>1</v>
      </c>
      <c r="F104" s="52">
        <v>1</v>
      </c>
      <c r="G104" s="46" t="s">
        <v>163</v>
      </c>
      <c r="H104" s="43">
        <f>J104*CHOOSE(Scenarios!$H$2,D104,E104,F104)</f>
        <v>15967.2657375</v>
      </c>
      <c r="I104" s="53" t="s">
        <v>241</v>
      </c>
      <c r="J104" s="54">
        <f t="shared" si="1"/>
        <v>15967.2657375</v>
      </c>
    </row>
    <row r="105" spans="1:10" ht="15" customHeight="1" x14ac:dyDescent="0.2">
      <c r="A105" s="25" t="s">
        <v>83</v>
      </c>
      <c r="B105" s="115" t="s">
        <v>425</v>
      </c>
      <c r="C105" s="51">
        <v>1500</v>
      </c>
      <c r="D105" s="52">
        <v>0</v>
      </c>
      <c r="E105" s="52">
        <v>0</v>
      </c>
      <c r="F105" s="52">
        <v>0</v>
      </c>
      <c r="G105" s="46" t="s">
        <v>163</v>
      </c>
      <c r="H105" s="35">
        <f>J105*CHOOSE(Scenarios!$H$2,D105,E105,F105)</f>
        <v>0</v>
      </c>
      <c r="I105" s="55" t="s">
        <v>242</v>
      </c>
      <c r="J105" s="56">
        <f t="shared" si="1"/>
        <v>1500</v>
      </c>
    </row>
    <row r="106" spans="1:10" ht="15" customHeight="1" x14ac:dyDescent="0.2">
      <c r="A106" s="4" t="s">
        <v>84</v>
      </c>
      <c r="B106" s="113" t="s">
        <v>422</v>
      </c>
      <c r="C106" s="51">
        <v>4000</v>
      </c>
      <c r="D106" s="52">
        <v>1</v>
      </c>
      <c r="E106" s="52">
        <v>1</v>
      </c>
      <c r="F106" s="52">
        <v>1</v>
      </c>
      <c r="G106" s="46" t="s">
        <v>163</v>
      </c>
      <c r="H106" s="43">
        <f>J106*CHOOSE(Scenarios!$H$2,D106,E106,F106)</f>
        <v>4000</v>
      </c>
      <c r="I106" s="114" t="s">
        <v>423</v>
      </c>
      <c r="J106" s="54">
        <f t="shared" si="1"/>
        <v>4000</v>
      </c>
    </row>
    <row r="107" spans="1:10" ht="15" customHeight="1" x14ac:dyDescent="0.2">
      <c r="A107" s="25" t="s">
        <v>84</v>
      </c>
      <c r="B107" s="25" t="s">
        <v>243</v>
      </c>
      <c r="C107" s="51">
        <v>400</v>
      </c>
      <c r="D107" s="52">
        <v>1</v>
      </c>
      <c r="E107" s="52">
        <v>1</v>
      </c>
      <c r="F107" s="52">
        <v>1</v>
      </c>
      <c r="G107" s="46" t="s">
        <v>163</v>
      </c>
      <c r="H107" s="35">
        <f>J107*CHOOSE(Scenarios!$H$2,D107,E107,F107)</f>
        <v>400</v>
      </c>
      <c r="I107" s="58"/>
      <c r="J107" s="56">
        <f t="shared" si="1"/>
        <v>400</v>
      </c>
    </row>
    <row r="108" spans="1:10" ht="15" customHeight="1" x14ac:dyDescent="0.2">
      <c r="A108" s="4" t="s">
        <v>84</v>
      </c>
      <c r="B108" s="4" t="s">
        <v>244</v>
      </c>
      <c r="C108" s="51">
        <v>1800</v>
      </c>
      <c r="D108" s="52">
        <v>1</v>
      </c>
      <c r="E108" s="52">
        <v>1</v>
      </c>
      <c r="F108" s="52">
        <v>1</v>
      </c>
      <c r="G108" s="46" t="s">
        <v>163</v>
      </c>
      <c r="H108" s="43">
        <f>J108*CHOOSE(Scenarios!$H$2,D108,E108,F108)</f>
        <v>1800</v>
      </c>
      <c r="I108" s="57"/>
      <c r="J108" s="54">
        <f t="shared" si="1"/>
        <v>1800</v>
      </c>
    </row>
    <row r="109" spans="1:10" ht="15" customHeight="1" x14ac:dyDescent="0.2">
      <c r="A109" s="25" t="s">
        <v>84</v>
      </c>
      <c r="B109" s="25" t="s">
        <v>245</v>
      </c>
      <c r="C109" s="51">
        <v>250</v>
      </c>
      <c r="D109" s="52">
        <v>0</v>
      </c>
      <c r="E109" s="52">
        <v>0</v>
      </c>
      <c r="F109" s="52">
        <v>1</v>
      </c>
      <c r="G109" s="46" t="s">
        <v>163</v>
      </c>
      <c r="H109" s="35">
        <f>J109*CHOOSE(Scenarios!$H$2,D109,E109,F109)</f>
        <v>0</v>
      </c>
      <c r="I109" s="58"/>
      <c r="J109" s="56">
        <f t="shared" si="1"/>
        <v>250</v>
      </c>
    </row>
    <row r="110" spans="1:10" ht="15" customHeight="1" x14ac:dyDescent="0.2">
      <c r="A110" s="4" t="s">
        <v>84</v>
      </c>
      <c r="B110" s="4" t="s">
        <v>246</v>
      </c>
      <c r="C110" s="51">
        <v>150</v>
      </c>
      <c r="D110" s="52">
        <v>1</v>
      </c>
      <c r="E110" s="52">
        <v>1</v>
      </c>
      <c r="F110" s="52">
        <v>1</v>
      </c>
      <c r="G110" s="46" t="s">
        <v>163</v>
      </c>
      <c r="H110" s="43">
        <f>J110*CHOOSE(Scenarios!$H$2,D110,E110,F110)</f>
        <v>150</v>
      </c>
      <c r="I110" s="57"/>
      <c r="J110" s="54">
        <f t="shared" si="1"/>
        <v>150</v>
      </c>
    </row>
    <row r="111" spans="1:10" ht="15" customHeight="1" x14ac:dyDescent="0.2">
      <c r="A111" s="25" t="s">
        <v>84</v>
      </c>
      <c r="B111" s="25" t="s">
        <v>247</v>
      </c>
      <c r="C111" s="51">
        <v>129</v>
      </c>
      <c r="D111" s="52">
        <v>1</v>
      </c>
      <c r="E111" s="52">
        <v>1</v>
      </c>
      <c r="F111" s="52">
        <v>1</v>
      </c>
      <c r="G111" s="46" t="s">
        <v>163</v>
      </c>
      <c r="H111" s="35">
        <f>J111*CHOOSE(Scenarios!$H$2,D111,E111,F111)</f>
        <v>129</v>
      </c>
      <c r="I111" s="58"/>
      <c r="J111" s="56">
        <f t="shared" si="1"/>
        <v>129</v>
      </c>
    </row>
    <row r="112" spans="1:10" ht="15" customHeight="1" x14ac:dyDescent="0.2">
      <c r="A112" s="4" t="s">
        <v>84</v>
      </c>
      <c r="B112" s="4" t="s">
        <v>248</v>
      </c>
      <c r="C112" s="51">
        <v>1500</v>
      </c>
      <c r="D112" s="52">
        <v>1</v>
      </c>
      <c r="E112" s="52">
        <v>1</v>
      </c>
      <c r="F112" s="52">
        <v>1</v>
      </c>
      <c r="G112" s="46" t="s">
        <v>163</v>
      </c>
      <c r="H112" s="43">
        <f>J112*CHOOSE(Scenarios!$H$2,D112,E112,F112)</f>
        <v>1500</v>
      </c>
      <c r="I112" s="53" t="s">
        <v>231</v>
      </c>
      <c r="J112" s="54">
        <f t="shared" si="1"/>
        <v>1500</v>
      </c>
    </row>
    <row r="113" spans="1:10" ht="15" customHeight="1" x14ac:dyDescent="0.2">
      <c r="A113" s="25" t="s">
        <v>84</v>
      </c>
      <c r="B113" s="25" t="s">
        <v>249</v>
      </c>
      <c r="C113" s="51">
        <v>300</v>
      </c>
      <c r="D113" s="52">
        <v>1</v>
      </c>
      <c r="E113" s="52">
        <v>1</v>
      </c>
      <c r="F113" s="52">
        <v>1</v>
      </c>
      <c r="G113" s="46" t="s">
        <v>163</v>
      </c>
      <c r="H113" s="35">
        <f>J113*CHOOSE(Scenarios!$H$2,D113,E113,F113)</f>
        <v>300</v>
      </c>
      <c r="I113" s="55" t="s">
        <v>231</v>
      </c>
      <c r="J113" s="56">
        <f t="shared" si="1"/>
        <v>300</v>
      </c>
    </row>
    <row r="114" spans="1:10" ht="15" customHeight="1" x14ac:dyDescent="0.2">
      <c r="A114" s="4" t="s">
        <v>84</v>
      </c>
      <c r="B114" s="4" t="s">
        <v>250</v>
      </c>
      <c r="C114" s="51">
        <v>715</v>
      </c>
      <c r="D114" s="52">
        <v>1</v>
      </c>
      <c r="E114" s="52">
        <v>1</v>
      </c>
      <c r="F114" s="52">
        <v>1</v>
      </c>
      <c r="G114" s="46" t="s">
        <v>163</v>
      </c>
      <c r="H114" s="43">
        <f>J114*CHOOSE(Scenarios!$H$2,D114,E114,F114)</f>
        <v>715</v>
      </c>
      <c r="I114" s="57"/>
      <c r="J114" s="54">
        <f t="shared" si="1"/>
        <v>715</v>
      </c>
    </row>
    <row r="115" spans="1:10" ht="15" customHeight="1" x14ac:dyDescent="0.2">
      <c r="A115" s="25" t="s">
        <v>84</v>
      </c>
      <c r="B115" s="25" t="s">
        <v>251</v>
      </c>
      <c r="C115" s="51">
        <v>0</v>
      </c>
      <c r="D115" s="52">
        <v>0.8</v>
      </c>
      <c r="E115" s="52">
        <v>1</v>
      </c>
      <c r="F115" s="52">
        <v>1</v>
      </c>
      <c r="G115" s="46" t="s">
        <v>163</v>
      </c>
      <c r="H115" s="35">
        <f>J115*CHOOSE(Scenarios!$H$2,D115,E115,F115)</f>
        <v>0</v>
      </c>
      <c r="I115" s="55" t="s">
        <v>252</v>
      </c>
      <c r="J115" s="56">
        <f t="shared" si="1"/>
        <v>0</v>
      </c>
    </row>
    <row r="116" spans="1:10" ht="15" customHeight="1" x14ac:dyDescent="0.2">
      <c r="A116" s="4" t="s">
        <v>85</v>
      </c>
      <c r="B116" s="4" t="s">
        <v>253</v>
      </c>
      <c r="C116" s="51">
        <v>1000</v>
      </c>
      <c r="D116" s="52">
        <v>0.75</v>
      </c>
      <c r="E116" s="52">
        <v>0.9</v>
      </c>
      <c r="F116" s="52">
        <v>1</v>
      </c>
      <c r="G116" s="46" t="s">
        <v>163</v>
      </c>
      <c r="H116" s="43">
        <f>J116*CHOOSE(Scenarios!$H$2,D116,E116,F116)</f>
        <v>900</v>
      </c>
      <c r="I116" s="57"/>
      <c r="J116" s="54">
        <f t="shared" si="1"/>
        <v>1000</v>
      </c>
    </row>
    <row r="117" spans="1:10" ht="15" customHeight="1" x14ac:dyDescent="0.2">
      <c r="A117" s="26" t="s">
        <v>254</v>
      </c>
      <c r="B117" s="26"/>
      <c r="C117" s="26"/>
      <c r="D117" s="26"/>
      <c r="E117" s="26"/>
      <c r="F117" s="26"/>
      <c r="G117" s="26"/>
      <c r="H117" s="27">
        <f>SUM(H74:H116)</f>
        <v>157354.40573750003</v>
      </c>
      <c r="I117" s="26"/>
      <c r="J117" s="26"/>
    </row>
    <row r="119" spans="1:10" ht="19.5" customHeight="1" x14ac:dyDescent="0.2">
      <c r="A119" s="125" t="s">
        <v>255</v>
      </c>
      <c r="B119" s="125"/>
      <c r="C119" s="125"/>
      <c r="D119" s="125"/>
      <c r="E119" s="125"/>
      <c r="F119" s="125"/>
      <c r="G119" s="125"/>
      <c r="H119" s="125"/>
    </row>
    <row r="120" spans="1:10" ht="24" customHeight="1" x14ac:dyDescent="0.2">
      <c r="A120" s="15" t="s">
        <v>256</v>
      </c>
      <c r="B120" s="15" t="s">
        <v>165</v>
      </c>
      <c r="C120" s="15" t="s">
        <v>257</v>
      </c>
      <c r="D120" s="15" t="s">
        <v>258</v>
      </c>
      <c r="E120" s="15" t="s">
        <v>259</v>
      </c>
      <c r="F120" s="15" t="s">
        <v>260</v>
      </c>
      <c r="G120" s="15" t="s">
        <v>261</v>
      </c>
      <c r="H120" s="15" t="s">
        <v>262</v>
      </c>
      <c r="I120" s="20" t="s">
        <v>197</v>
      </c>
    </row>
    <row r="121" spans="1:10" ht="15" customHeight="1" x14ac:dyDescent="0.2">
      <c r="A121" s="4" t="s">
        <v>263</v>
      </c>
      <c r="B121" s="46" t="s">
        <v>163</v>
      </c>
      <c r="C121" s="5">
        <v>143348.4</v>
      </c>
      <c r="D121" s="7">
        <v>0.06</v>
      </c>
      <c r="E121" s="4" t="s">
        <v>264</v>
      </c>
      <c r="F121" s="51">
        <v>2141.3000000000002</v>
      </c>
      <c r="G121" s="9">
        <v>12</v>
      </c>
      <c r="H121" s="17">
        <f t="shared" ref="H121:H126" si="2">IF(B121="OFF",0,F121*G121)</f>
        <v>25695.600000000002</v>
      </c>
      <c r="I121" s="28"/>
    </row>
    <row r="122" spans="1:10" ht="15" customHeight="1" x14ac:dyDescent="0.2">
      <c r="A122" s="25" t="s">
        <v>265</v>
      </c>
      <c r="B122" s="46" t="s">
        <v>163</v>
      </c>
      <c r="C122" s="5">
        <v>175842.44</v>
      </c>
      <c r="D122" s="7">
        <v>0.06</v>
      </c>
      <c r="E122" s="25" t="s">
        <v>264</v>
      </c>
      <c r="F122" s="51">
        <v>3000</v>
      </c>
      <c r="G122" s="9">
        <v>12</v>
      </c>
      <c r="H122" s="19">
        <f t="shared" si="2"/>
        <v>36000</v>
      </c>
      <c r="I122" s="28"/>
    </row>
    <row r="123" spans="1:10" ht="15" customHeight="1" x14ac:dyDescent="0.2">
      <c r="A123" s="4" t="s">
        <v>266</v>
      </c>
      <c r="B123" s="46" t="s">
        <v>163</v>
      </c>
      <c r="C123" s="5">
        <v>8486.35</v>
      </c>
      <c r="D123" s="7">
        <v>0</v>
      </c>
      <c r="E123" s="4" t="s">
        <v>264</v>
      </c>
      <c r="F123" s="51">
        <v>446.65</v>
      </c>
      <c r="G123" s="9">
        <v>12</v>
      </c>
      <c r="H123" s="17">
        <f t="shared" si="2"/>
        <v>5359.7999999999993</v>
      </c>
      <c r="I123" s="28"/>
    </row>
    <row r="124" spans="1:10" ht="15" customHeight="1" x14ac:dyDescent="0.2">
      <c r="A124" s="25" t="s">
        <v>267</v>
      </c>
      <c r="B124" s="46" t="s">
        <v>163</v>
      </c>
      <c r="C124" s="5">
        <v>122346.56</v>
      </c>
      <c r="D124" s="7">
        <v>0</v>
      </c>
      <c r="E124" s="25" t="s">
        <v>264</v>
      </c>
      <c r="F124" s="51">
        <v>1773.14</v>
      </c>
      <c r="G124" s="9">
        <v>12</v>
      </c>
      <c r="H124" s="19">
        <f t="shared" si="2"/>
        <v>21277.68</v>
      </c>
      <c r="I124" s="28"/>
    </row>
    <row r="125" spans="1:10" ht="25.5" customHeight="1" x14ac:dyDescent="0.2">
      <c r="A125" s="4" t="s">
        <v>268</v>
      </c>
      <c r="B125" s="46" t="s">
        <v>269</v>
      </c>
      <c r="C125" s="5">
        <v>35558.06</v>
      </c>
      <c r="D125" s="7">
        <v>0</v>
      </c>
      <c r="E125" s="4" t="s">
        <v>137</v>
      </c>
      <c r="F125" s="51">
        <v>17779.03</v>
      </c>
      <c r="G125" s="9">
        <v>1</v>
      </c>
      <c r="H125" s="17">
        <f t="shared" si="2"/>
        <v>0</v>
      </c>
      <c r="I125" s="53" t="s">
        <v>270</v>
      </c>
    </row>
    <row r="126" spans="1:10" ht="15" customHeight="1" x14ac:dyDescent="0.2">
      <c r="A126" s="25" t="s">
        <v>271</v>
      </c>
      <c r="B126" s="46" t="s">
        <v>163</v>
      </c>
      <c r="C126" s="5">
        <v>34301.75</v>
      </c>
      <c r="D126" s="7">
        <v>0.16489999999999999</v>
      </c>
      <c r="E126" s="25" t="s">
        <v>272</v>
      </c>
      <c r="F126" s="51">
        <v>789</v>
      </c>
      <c r="G126" s="9">
        <v>12</v>
      </c>
      <c r="H126" s="19">
        <f t="shared" si="2"/>
        <v>9468</v>
      </c>
      <c r="I126" s="28"/>
    </row>
    <row r="127" spans="1:10" ht="15" customHeight="1" x14ac:dyDescent="0.2">
      <c r="A127" s="26" t="s">
        <v>273</v>
      </c>
      <c r="B127" s="26"/>
      <c r="C127" s="26"/>
      <c r="D127" s="26"/>
      <c r="E127" s="26"/>
      <c r="F127" s="26"/>
      <c r="G127" s="26"/>
      <c r="H127" s="27">
        <f>SUM(H121:H126)</f>
        <v>97801.080000000016</v>
      </c>
    </row>
    <row r="129" spans="1:8" ht="19.5" customHeight="1" x14ac:dyDescent="0.2">
      <c r="A129" s="125" t="s">
        <v>424</v>
      </c>
      <c r="B129" s="125"/>
      <c r="C129" s="125"/>
      <c r="D129" s="125"/>
      <c r="E129" s="125"/>
    </row>
    <row r="130" spans="1:8" ht="24" customHeight="1" x14ac:dyDescent="0.2">
      <c r="A130" s="15" t="s">
        <v>274</v>
      </c>
      <c r="B130" s="15" t="s">
        <v>165</v>
      </c>
      <c r="C130" s="15" t="s">
        <v>275</v>
      </c>
      <c r="D130" s="15" t="s">
        <v>276</v>
      </c>
      <c r="E130" s="15" t="s">
        <v>262</v>
      </c>
    </row>
    <row r="131" spans="1:8" ht="15" customHeight="1" x14ac:dyDescent="0.2">
      <c r="A131" s="4" t="s">
        <v>277</v>
      </c>
      <c r="B131" s="46" t="s">
        <v>269</v>
      </c>
      <c r="C131" s="5">
        <v>28000</v>
      </c>
      <c r="D131" s="9">
        <v>2</v>
      </c>
      <c r="E131" s="17">
        <f>IF(OR(B131="OFF",D131=0),0,C131/D131)</f>
        <v>0</v>
      </c>
    </row>
    <row r="132" spans="1:8" ht="15" customHeight="1" x14ac:dyDescent="0.2">
      <c r="A132" s="25" t="s">
        <v>278</v>
      </c>
      <c r="B132" s="46" t="s">
        <v>269</v>
      </c>
      <c r="C132" s="5">
        <v>28330.66</v>
      </c>
      <c r="D132" s="9">
        <v>2</v>
      </c>
      <c r="E132" s="19">
        <f>IF(OR(B132="OFF",D132=0),0,C132/D132)</f>
        <v>0</v>
      </c>
    </row>
    <row r="133" spans="1:8" ht="15" customHeight="1" x14ac:dyDescent="0.2">
      <c r="A133" s="4" t="s">
        <v>279</v>
      </c>
      <c r="B133" s="46" t="s">
        <v>269</v>
      </c>
      <c r="C133" s="5">
        <v>10000</v>
      </c>
      <c r="D133" s="9">
        <v>2</v>
      </c>
      <c r="E133" s="17">
        <f>IF(OR(B133="OFF",D133=0),0,C133/D133)</f>
        <v>0</v>
      </c>
    </row>
    <row r="134" spans="1:8" ht="15" customHeight="1" x14ac:dyDescent="0.2">
      <c r="A134" s="26" t="s">
        <v>280</v>
      </c>
      <c r="B134" s="26"/>
      <c r="C134" s="26"/>
      <c r="D134" s="26"/>
      <c r="E134" s="27">
        <f>SUM(E131:E133)</f>
        <v>0</v>
      </c>
    </row>
    <row r="136" spans="1:8" ht="19.5" customHeight="1" x14ac:dyDescent="0.2">
      <c r="A136" s="125" t="s">
        <v>281</v>
      </c>
      <c r="B136" s="125"/>
      <c r="C136" s="125"/>
      <c r="D136" s="125"/>
      <c r="E136" s="125"/>
      <c r="F136" s="125"/>
      <c r="G136" s="125"/>
      <c r="H136" s="125"/>
    </row>
    <row r="137" spans="1:8" ht="24" customHeight="1" x14ac:dyDescent="0.2">
      <c r="A137" s="15" t="s">
        <v>282</v>
      </c>
      <c r="B137" s="15" t="s">
        <v>165</v>
      </c>
      <c r="C137" s="15" t="s">
        <v>283</v>
      </c>
      <c r="D137" s="15" t="s">
        <v>284</v>
      </c>
      <c r="E137" s="15" t="s">
        <v>285</v>
      </c>
      <c r="F137" s="15" t="s">
        <v>286</v>
      </c>
      <c r="G137" s="15" t="s">
        <v>287</v>
      </c>
      <c r="H137" s="15" t="s">
        <v>288</v>
      </c>
    </row>
    <row r="138" spans="1:8" ht="15" customHeight="1" x14ac:dyDescent="0.2">
      <c r="A138" s="4" t="s">
        <v>289</v>
      </c>
      <c r="B138" s="46" t="s">
        <v>269</v>
      </c>
      <c r="C138" s="9">
        <v>1</v>
      </c>
      <c r="D138" s="5">
        <v>5000000</v>
      </c>
      <c r="E138" s="17">
        <f t="shared" ref="E138:E149" si="3">C138*D138</f>
        <v>5000000</v>
      </c>
      <c r="F138" s="9">
        <v>30</v>
      </c>
      <c r="G138" s="8">
        <v>0</v>
      </c>
      <c r="H138" s="17">
        <f t="shared" ref="H138:H149" si="4">IF(OR(B138="OFF",F138=0),0,(E138/F138)*G138)</f>
        <v>0</v>
      </c>
    </row>
    <row r="139" spans="1:8" ht="15" customHeight="1" x14ac:dyDescent="0.2">
      <c r="A139" s="25" t="s">
        <v>290</v>
      </c>
      <c r="B139" s="46" t="s">
        <v>269</v>
      </c>
      <c r="C139" s="9">
        <v>2</v>
      </c>
      <c r="D139" s="5">
        <v>500000</v>
      </c>
      <c r="E139" s="19">
        <f t="shared" si="3"/>
        <v>1000000</v>
      </c>
      <c r="F139" s="9">
        <v>12</v>
      </c>
      <c r="G139" s="8">
        <v>0</v>
      </c>
      <c r="H139" s="19">
        <f t="shared" si="4"/>
        <v>0</v>
      </c>
    </row>
    <row r="140" spans="1:8" ht="15" customHeight="1" x14ac:dyDescent="0.2">
      <c r="A140" s="4" t="s">
        <v>291</v>
      </c>
      <c r="B140" s="46" t="s">
        <v>269</v>
      </c>
      <c r="C140" s="9">
        <v>2</v>
      </c>
      <c r="D140" s="5">
        <v>35000</v>
      </c>
      <c r="E140" s="17">
        <f t="shared" si="3"/>
        <v>70000</v>
      </c>
      <c r="F140" s="9">
        <v>10</v>
      </c>
      <c r="G140" s="8">
        <v>0</v>
      </c>
      <c r="H140" s="17">
        <f t="shared" si="4"/>
        <v>0</v>
      </c>
    </row>
    <row r="141" spans="1:8" ht="15" customHeight="1" x14ac:dyDescent="0.2">
      <c r="A141" s="25" t="s">
        <v>292</v>
      </c>
      <c r="B141" s="46" t="s">
        <v>269</v>
      </c>
      <c r="C141" s="9">
        <v>2</v>
      </c>
      <c r="D141" s="5">
        <v>35000</v>
      </c>
      <c r="E141" s="19">
        <f t="shared" si="3"/>
        <v>70000</v>
      </c>
      <c r="F141" s="9">
        <v>8</v>
      </c>
      <c r="G141" s="8">
        <v>0</v>
      </c>
      <c r="H141" s="19">
        <f t="shared" si="4"/>
        <v>0</v>
      </c>
    </row>
    <row r="142" spans="1:8" ht="15" customHeight="1" x14ac:dyDescent="0.2">
      <c r="A142" s="4" t="s">
        <v>293</v>
      </c>
      <c r="B142" s="46" t="s">
        <v>269</v>
      </c>
      <c r="C142" s="9">
        <v>3</v>
      </c>
      <c r="D142" s="5">
        <v>80000</v>
      </c>
      <c r="E142" s="17">
        <f t="shared" si="3"/>
        <v>240000</v>
      </c>
      <c r="F142" s="9">
        <v>10</v>
      </c>
      <c r="G142" s="8">
        <v>0</v>
      </c>
      <c r="H142" s="17">
        <f t="shared" si="4"/>
        <v>0</v>
      </c>
    </row>
    <row r="143" spans="1:8" ht="15" customHeight="1" x14ac:dyDescent="0.2">
      <c r="A143" s="25" t="s">
        <v>294</v>
      </c>
      <c r="B143" s="46" t="s">
        <v>269</v>
      </c>
      <c r="C143" s="9">
        <v>3</v>
      </c>
      <c r="D143" s="5">
        <v>40000</v>
      </c>
      <c r="E143" s="19">
        <f t="shared" si="3"/>
        <v>120000</v>
      </c>
      <c r="F143" s="9">
        <v>10</v>
      </c>
      <c r="G143" s="8">
        <v>0</v>
      </c>
      <c r="H143" s="19">
        <f t="shared" si="4"/>
        <v>0</v>
      </c>
    </row>
    <row r="144" spans="1:8" ht="15" customHeight="1" x14ac:dyDescent="0.2">
      <c r="A144" s="4" t="s">
        <v>295</v>
      </c>
      <c r="B144" s="46" t="s">
        <v>269</v>
      </c>
      <c r="C144" s="9">
        <v>2</v>
      </c>
      <c r="D144" s="5">
        <v>20</v>
      </c>
      <c r="E144" s="17">
        <f t="shared" si="3"/>
        <v>40</v>
      </c>
      <c r="F144" s="9">
        <v>10</v>
      </c>
      <c r="G144" s="8">
        <v>0</v>
      </c>
      <c r="H144" s="17">
        <f t="shared" si="4"/>
        <v>0</v>
      </c>
    </row>
    <row r="145" spans="1:8" ht="15" customHeight="1" x14ac:dyDescent="0.2">
      <c r="A145" s="25" t="s">
        <v>296</v>
      </c>
      <c r="B145" s="46" t="s">
        <v>269</v>
      </c>
      <c r="C145" s="9">
        <v>2</v>
      </c>
      <c r="D145" s="5">
        <v>20000</v>
      </c>
      <c r="E145" s="19">
        <f t="shared" si="3"/>
        <v>40000</v>
      </c>
      <c r="F145" s="9">
        <v>10</v>
      </c>
      <c r="G145" s="8">
        <v>0</v>
      </c>
      <c r="H145" s="19">
        <f t="shared" si="4"/>
        <v>0</v>
      </c>
    </row>
    <row r="146" spans="1:8" ht="15" customHeight="1" x14ac:dyDescent="0.2">
      <c r="A146" s="4" t="s">
        <v>297</v>
      </c>
      <c r="B146" s="46" t="s">
        <v>269</v>
      </c>
      <c r="C146" s="9">
        <v>2</v>
      </c>
      <c r="D146" s="5">
        <v>6000</v>
      </c>
      <c r="E146" s="17">
        <f t="shared" si="3"/>
        <v>12000</v>
      </c>
      <c r="F146" s="9">
        <v>5</v>
      </c>
      <c r="G146" s="8">
        <v>0</v>
      </c>
      <c r="H146" s="17">
        <f t="shared" si="4"/>
        <v>0</v>
      </c>
    </row>
    <row r="147" spans="1:8" ht="15" customHeight="1" x14ac:dyDescent="0.2">
      <c r="A147" s="25" t="s">
        <v>298</v>
      </c>
      <c r="B147" s="46" t="s">
        <v>269</v>
      </c>
      <c r="C147" s="9">
        <v>6</v>
      </c>
      <c r="D147" s="5">
        <v>5000</v>
      </c>
      <c r="E147" s="19">
        <f t="shared" si="3"/>
        <v>30000</v>
      </c>
      <c r="F147" s="9">
        <v>8</v>
      </c>
      <c r="G147" s="8">
        <v>0</v>
      </c>
      <c r="H147" s="19">
        <f t="shared" si="4"/>
        <v>0</v>
      </c>
    </row>
    <row r="148" spans="1:8" ht="15" customHeight="1" x14ac:dyDescent="0.2">
      <c r="A148" s="4" t="s">
        <v>299</v>
      </c>
      <c r="B148" s="46" t="s">
        <v>269</v>
      </c>
      <c r="C148" s="9">
        <v>6</v>
      </c>
      <c r="D148" s="5">
        <v>30000</v>
      </c>
      <c r="E148" s="17">
        <f t="shared" si="3"/>
        <v>180000</v>
      </c>
      <c r="F148" s="9">
        <v>10</v>
      </c>
      <c r="G148" s="8">
        <v>0</v>
      </c>
      <c r="H148" s="17">
        <f t="shared" si="4"/>
        <v>0</v>
      </c>
    </row>
    <row r="149" spans="1:8" ht="15" customHeight="1" x14ac:dyDescent="0.2">
      <c r="A149" s="25" t="s">
        <v>300</v>
      </c>
      <c r="B149" s="46" t="s">
        <v>269</v>
      </c>
      <c r="C149" s="9">
        <v>3</v>
      </c>
      <c r="D149" s="5">
        <v>12000</v>
      </c>
      <c r="E149" s="19">
        <f t="shared" si="3"/>
        <v>36000</v>
      </c>
      <c r="F149" s="9">
        <v>5</v>
      </c>
      <c r="G149" s="8">
        <v>0</v>
      </c>
      <c r="H149" s="19">
        <f t="shared" si="4"/>
        <v>0</v>
      </c>
    </row>
    <row r="150" spans="1:8" ht="15" customHeight="1" x14ac:dyDescent="0.2">
      <c r="A150" s="26" t="s">
        <v>301</v>
      </c>
      <c r="B150" s="26"/>
      <c r="C150" s="26"/>
      <c r="D150" s="26"/>
      <c r="E150" s="26"/>
      <c r="F150" s="26"/>
      <c r="G150" s="26"/>
      <c r="H150" s="27">
        <f>SUM(H138:H149)</f>
        <v>0</v>
      </c>
    </row>
  </sheetData>
  <mergeCells count="11">
    <mergeCell ref="A136:H136"/>
    <mergeCell ref="A51:E51"/>
    <mergeCell ref="A71:G71"/>
    <mergeCell ref="A72:J72"/>
    <mergeCell ref="A119:H119"/>
    <mergeCell ref="A129:E129"/>
    <mergeCell ref="A1:H1"/>
    <mergeCell ref="A4:E4"/>
    <mergeCell ref="A17:E17"/>
    <mergeCell ref="A28:E28"/>
    <mergeCell ref="A39:E39"/>
  </mergeCells>
  <conditionalFormatting sqref="B53:B68">
    <cfRule type="cellIs" dxfId="36" priority="4" operator="equal">
      <formula>"ON"</formula>
    </cfRule>
    <cfRule type="cellIs" dxfId="35" priority="5" operator="equal">
      <formula>"OFF"</formula>
    </cfRule>
  </conditionalFormatting>
  <conditionalFormatting sqref="B70">
    <cfRule type="cellIs" dxfId="34" priority="6" operator="equal">
      <formula>"ON"</formula>
    </cfRule>
    <cfRule type="cellIs" dxfId="33" priority="7" operator="equal">
      <formula>"OFF"</formula>
    </cfRule>
  </conditionalFormatting>
  <conditionalFormatting sqref="B121:B126">
    <cfRule type="cellIs" dxfId="32" priority="10" operator="equal">
      <formula>"ON"</formula>
    </cfRule>
    <cfRule type="cellIs" dxfId="31" priority="11" operator="equal">
      <formula>"OFF"</formula>
    </cfRule>
  </conditionalFormatting>
  <conditionalFormatting sqref="B131:B133">
    <cfRule type="cellIs" dxfId="30" priority="12" operator="equal">
      <formula>"ON"</formula>
    </cfRule>
    <cfRule type="cellIs" dxfId="29" priority="13" operator="equal">
      <formula>"OFF"</formula>
    </cfRule>
  </conditionalFormatting>
  <conditionalFormatting sqref="B138:B149">
    <cfRule type="cellIs" dxfId="28" priority="14" operator="equal">
      <formula>"ON"</formula>
    </cfRule>
    <cfRule type="cellIs" dxfId="27" priority="15" operator="equal">
      <formula>"OFF"</formula>
    </cfRule>
  </conditionalFormatting>
  <conditionalFormatting sqref="G51">
    <cfRule type="cellIs" dxfId="26" priority="2" operator="equal">
      <formula>"ON"</formula>
    </cfRule>
    <cfRule type="cellIs" dxfId="25" priority="3" operator="equal">
      <formula>"OFF"</formula>
    </cfRule>
  </conditionalFormatting>
  <conditionalFormatting sqref="G74:G116">
    <cfRule type="cellIs" dxfId="24" priority="8" operator="equal">
      <formula>"ON"</formula>
    </cfRule>
    <cfRule type="cellIs" dxfId="23" priority="9" operator="equal">
      <formula>"OFF"</formula>
    </cfRule>
  </conditionalFormatting>
  <dataValidations count="1">
    <dataValidation type="list" sqref="G51 B53:B68 B70 G74:G116 B121:B126 B131:B133 B138:B149" xr:uid="{00000000-0002-0000-0200-000000000000}">
      <formula1>"ON,OFF"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395"/>
  </sheetPr>
  <dimension ref="A1:H65"/>
  <sheetViews>
    <sheetView showGridLines="0" tabSelected="1" topLeftCell="A33" zoomScale="174" workbookViewId="0">
      <selection activeCell="B3" sqref="B3"/>
    </sheetView>
  </sheetViews>
  <sheetFormatPr baseColWidth="10" defaultColWidth="8.6640625" defaultRowHeight="15" x14ac:dyDescent="0.2"/>
  <cols>
    <col min="1" max="1" width="38" customWidth="1"/>
    <col min="2" max="2" width="13" customWidth="1"/>
    <col min="3" max="5" width="16" customWidth="1"/>
    <col min="6" max="6" width="17" hidden="1" customWidth="1"/>
    <col min="7" max="7" width="44" customWidth="1"/>
    <col min="8" max="8" width="4" customWidth="1"/>
  </cols>
  <sheetData>
    <row r="1" spans="1:8" ht="30" customHeight="1" x14ac:dyDescent="0.2">
      <c r="A1" s="123" t="s">
        <v>302</v>
      </c>
      <c r="B1" s="123"/>
      <c r="C1" s="123"/>
      <c r="D1" s="123"/>
      <c r="E1" s="123"/>
      <c r="F1" s="123"/>
    </row>
    <row r="2" spans="1:8" ht="15" customHeight="1" x14ac:dyDescent="0.2">
      <c r="A2" s="3" t="s">
        <v>303</v>
      </c>
      <c r="H2" s="60">
        <f>IF(B3="BARE MINIMUM",1,IF(B3="IDEAL",3,2))</f>
        <v>2</v>
      </c>
    </row>
    <row r="3" spans="1:8" ht="15.75" customHeight="1" x14ac:dyDescent="0.2">
      <c r="A3" s="61" t="s">
        <v>304</v>
      </c>
      <c r="B3" s="62" t="s">
        <v>305</v>
      </c>
      <c r="C3" s="1" t="s">
        <v>306</v>
      </c>
    </row>
    <row r="6" spans="1:8" ht="24" customHeight="1" x14ac:dyDescent="0.2">
      <c r="A6" s="15" t="s">
        <v>307</v>
      </c>
      <c r="B6" s="15" t="s">
        <v>308</v>
      </c>
      <c r="C6" s="15" t="s">
        <v>309</v>
      </c>
      <c r="D6" s="15" t="s">
        <v>305</v>
      </c>
      <c r="E6" s="15" t="s">
        <v>310</v>
      </c>
      <c r="F6" s="15" t="s">
        <v>311</v>
      </c>
    </row>
    <row r="7" spans="1:8" ht="19.5" customHeight="1" x14ac:dyDescent="0.2">
      <c r="A7" s="125" t="s">
        <v>312</v>
      </c>
      <c r="B7" s="125"/>
      <c r="C7" s="125"/>
      <c r="D7" s="125"/>
      <c r="E7" s="125"/>
      <c r="F7" s="125"/>
    </row>
    <row r="8" spans="1:8" ht="15" customHeight="1" x14ac:dyDescent="0.2">
      <c r="A8" s="28" t="s">
        <v>25</v>
      </c>
      <c r="B8" s="6" t="s">
        <v>313</v>
      </c>
      <c r="C8" s="5">
        <v>120000</v>
      </c>
      <c r="D8" s="5">
        <v>120000</v>
      </c>
      <c r="E8" s="5">
        <v>130000</v>
      </c>
      <c r="F8" s="13">
        <f>CHOOSE($H$2,C8,D8,E8)</f>
        <v>120000</v>
      </c>
    </row>
    <row r="9" spans="1:8" ht="15" customHeight="1" x14ac:dyDescent="0.2">
      <c r="A9" s="29" t="s">
        <v>27</v>
      </c>
      <c r="B9" s="63" t="s">
        <v>313</v>
      </c>
      <c r="C9" s="5">
        <v>45000</v>
      </c>
      <c r="D9" s="5">
        <v>50000</v>
      </c>
      <c r="E9" s="5">
        <v>55000</v>
      </c>
      <c r="F9" s="44">
        <f>CHOOSE($H$2,C9,D9,E9)</f>
        <v>50000</v>
      </c>
    </row>
    <row r="10" spans="1:8" ht="15" customHeight="1" x14ac:dyDescent="0.2">
      <c r="A10" s="28" t="s">
        <v>29</v>
      </c>
      <c r="B10" s="6" t="s">
        <v>314</v>
      </c>
      <c r="C10" s="51">
        <v>20</v>
      </c>
      <c r="D10" s="51">
        <v>21</v>
      </c>
      <c r="E10" s="51">
        <v>25</v>
      </c>
      <c r="F10" s="14">
        <f>CHOOSE($H$2,C10,D10,E10)</f>
        <v>21</v>
      </c>
      <c r="G10" s="64"/>
    </row>
    <row r="11" spans="1:8" ht="15" customHeight="1" x14ac:dyDescent="0.2">
      <c r="A11" s="29" t="s">
        <v>31</v>
      </c>
      <c r="B11" s="63" t="s">
        <v>314</v>
      </c>
      <c r="C11" s="51">
        <v>16</v>
      </c>
      <c r="D11" s="51">
        <v>17</v>
      </c>
      <c r="E11" s="51">
        <v>20</v>
      </c>
      <c r="F11" s="47">
        <f>CHOOSE($H$2,C11,D11,E11)</f>
        <v>17</v>
      </c>
      <c r="G11" s="64"/>
    </row>
    <row r="13" spans="1:8" ht="19.5" customHeight="1" x14ac:dyDescent="0.2">
      <c r="A13" s="125" t="s">
        <v>315</v>
      </c>
      <c r="B13" s="125"/>
      <c r="C13" s="125"/>
      <c r="D13" s="125"/>
      <c r="E13" s="125"/>
      <c r="F13" s="125"/>
    </row>
    <row r="14" spans="1:8" ht="15" customHeight="1" x14ac:dyDescent="0.2">
      <c r="A14" s="28" t="s">
        <v>142</v>
      </c>
      <c r="B14" s="6" t="s">
        <v>313</v>
      </c>
      <c r="C14" s="5">
        <v>40000</v>
      </c>
      <c r="D14" s="5">
        <v>69000</v>
      </c>
      <c r="E14" s="5">
        <v>85000</v>
      </c>
      <c r="F14" s="13">
        <f t="shared" ref="F14:F20" si="0">CHOOSE($H$2,C14,D14,E14)</f>
        <v>69000</v>
      </c>
    </row>
    <row r="15" spans="1:8" ht="15" customHeight="1" x14ac:dyDescent="0.2">
      <c r="A15" s="29" t="s">
        <v>143</v>
      </c>
      <c r="B15" s="63" t="s">
        <v>313</v>
      </c>
      <c r="C15" s="5">
        <v>0</v>
      </c>
      <c r="D15" s="5">
        <v>0</v>
      </c>
      <c r="E15" s="5">
        <v>0</v>
      </c>
      <c r="F15" s="44">
        <f t="shared" si="0"/>
        <v>0</v>
      </c>
      <c r="G15" s="65"/>
    </row>
    <row r="16" spans="1:8" ht="15" customHeight="1" x14ac:dyDescent="0.2">
      <c r="A16" s="28" t="s">
        <v>144</v>
      </c>
      <c r="B16" s="66" t="s">
        <v>313</v>
      </c>
      <c r="C16" s="67">
        <f>(C14+C15)*(Details!$D$19+Details!$D$20)</f>
        <v>3060</v>
      </c>
      <c r="D16" s="67">
        <f>(D14+D15)*(Details!$D$19+Details!$D$20)</f>
        <v>5278.5</v>
      </c>
      <c r="E16" s="67">
        <f>(E14+E15)*(Details!$D$19+Details!$D$20)</f>
        <v>6502.5</v>
      </c>
      <c r="F16" s="13">
        <f t="shared" si="0"/>
        <v>5278.5</v>
      </c>
      <c r="G16" s="68" t="s">
        <v>316</v>
      </c>
    </row>
    <row r="17" spans="1:6" ht="15" customHeight="1" x14ac:dyDescent="0.2">
      <c r="A17" s="29" t="s">
        <v>145</v>
      </c>
      <c r="B17" s="63" t="s">
        <v>313</v>
      </c>
      <c r="C17" s="5">
        <v>6300</v>
      </c>
      <c r="D17" s="5">
        <v>6300</v>
      </c>
      <c r="E17" s="5">
        <v>6300</v>
      </c>
      <c r="F17" s="44">
        <f t="shared" si="0"/>
        <v>6300</v>
      </c>
    </row>
    <row r="18" spans="1:6" ht="15" customHeight="1" x14ac:dyDescent="0.2">
      <c r="A18" s="28" t="s">
        <v>146</v>
      </c>
      <c r="B18" s="6" t="s">
        <v>313</v>
      </c>
      <c r="C18" s="5">
        <v>0</v>
      </c>
      <c r="D18" s="5">
        <v>3000</v>
      </c>
      <c r="E18" s="5">
        <v>6000</v>
      </c>
      <c r="F18" s="13">
        <f t="shared" si="0"/>
        <v>3000</v>
      </c>
    </row>
    <row r="19" spans="1:6" ht="15" customHeight="1" x14ac:dyDescent="0.2">
      <c r="A19" s="29" t="s">
        <v>147</v>
      </c>
      <c r="B19" s="63" t="s">
        <v>313</v>
      </c>
      <c r="C19" s="5">
        <v>5000</v>
      </c>
      <c r="D19" s="5">
        <v>5000</v>
      </c>
      <c r="E19" s="5">
        <v>5000</v>
      </c>
      <c r="F19" s="44">
        <f t="shared" si="0"/>
        <v>5000</v>
      </c>
    </row>
    <row r="20" spans="1:6" ht="15" customHeight="1" x14ac:dyDescent="0.2">
      <c r="A20" s="28" t="s">
        <v>148</v>
      </c>
      <c r="B20" s="6" t="s">
        <v>313</v>
      </c>
      <c r="C20" s="5">
        <v>0</v>
      </c>
      <c r="D20" s="5">
        <v>0</v>
      </c>
      <c r="E20" s="5">
        <v>0</v>
      </c>
      <c r="F20" s="13">
        <f t="shared" si="0"/>
        <v>0</v>
      </c>
    </row>
    <row r="21" spans="1:6" ht="15" customHeight="1" x14ac:dyDescent="0.2">
      <c r="A21" s="26" t="s">
        <v>317</v>
      </c>
      <c r="B21" s="26"/>
      <c r="C21" s="27">
        <f>SUM(C14:C20)</f>
        <v>54360</v>
      </c>
      <c r="D21" s="27">
        <f>SUM(D14:D20)</f>
        <v>88578.5</v>
      </c>
      <c r="E21" s="27">
        <f>SUM(E14:E20)</f>
        <v>108802.5</v>
      </c>
      <c r="F21" s="27">
        <f>SUM(F14:F20)</f>
        <v>88578.5</v>
      </c>
    </row>
    <row r="23" spans="1:6" ht="19.5" customHeight="1" x14ac:dyDescent="0.2">
      <c r="A23" s="125" t="s">
        <v>318</v>
      </c>
      <c r="B23" s="125"/>
      <c r="C23" s="125"/>
      <c r="D23" s="125"/>
      <c r="E23" s="125"/>
      <c r="F23" s="125"/>
    </row>
    <row r="24" spans="1:6" ht="15" customHeight="1" x14ac:dyDescent="0.2">
      <c r="A24" s="28" t="s">
        <v>152</v>
      </c>
      <c r="B24" s="6" t="s">
        <v>313</v>
      </c>
      <c r="C24" s="5">
        <v>100000</v>
      </c>
      <c r="D24" s="5">
        <v>170000</v>
      </c>
      <c r="E24" s="5">
        <v>300000</v>
      </c>
      <c r="F24" s="13">
        <f t="shared" ref="F24:F31" si="1">CHOOSE($H$2,C24,D24,E24)</f>
        <v>170000</v>
      </c>
    </row>
    <row r="25" spans="1:6" ht="15" customHeight="1" x14ac:dyDescent="0.2">
      <c r="A25" s="29" t="s">
        <v>153</v>
      </c>
      <c r="B25" s="63" t="s">
        <v>313</v>
      </c>
      <c r="C25" s="5">
        <v>6000</v>
      </c>
      <c r="D25" s="5">
        <v>11000</v>
      </c>
      <c r="E25" s="5">
        <v>20000</v>
      </c>
      <c r="F25" s="44">
        <f t="shared" si="1"/>
        <v>11000</v>
      </c>
    </row>
    <row r="26" spans="1:6" ht="15" customHeight="1" x14ac:dyDescent="0.2">
      <c r="A26" s="28" t="s">
        <v>154</v>
      </c>
      <c r="B26" s="6" t="s">
        <v>313</v>
      </c>
      <c r="C26" s="5">
        <v>2000</v>
      </c>
      <c r="D26" s="5">
        <v>3500</v>
      </c>
      <c r="E26" s="5">
        <v>7000</v>
      </c>
      <c r="F26" s="13">
        <f t="shared" si="1"/>
        <v>3500</v>
      </c>
    </row>
    <row r="27" spans="1:6" ht="15" customHeight="1" x14ac:dyDescent="0.2">
      <c r="A27" s="29" t="s">
        <v>155</v>
      </c>
      <c r="B27" s="63" t="s">
        <v>313</v>
      </c>
      <c r="C27" s="5">
        <v>1500</v>
      </c>
      <c r="D27" s="5">
        <v>5000</v>
      </c>
      <c r="E27" s="5">
        <v>15000</v>
      </c>
      <c r="F27" s="44">
        <f t="shared" si="1"/>
        <v>5000</v>
      </c>
    </row>
    <row r="28" spans="1:6" ht="15" customHeight="1" x14ac:dyDescent="0.2">
      <c r="A28" s="28" t="s">
        <v>156</v>
      </c>
      <c r="B28" s="6" t="s">
        <v>313</v>
      </c>
      <c r="C28" s="5">
        <v>1500</v>
      </c>
      <c r="D28" s="5">
        <v>10000</v>
      </c>
      <c r="E28" s="5">
        <v>22000</v>
      </c>
      <c r="F28" s="13">
        <f t="shared" si="1"/>
        <v>10000</v>
      </c>
    </row>
    <row r="29" spans="1:6" ht="15" customHeight="1" x14ac:dyDescent="0.2">
      <c r="A29" s="29" t="s">
        <v>157</v>
      </c>
      <c r="B29" s="63" t="s">
        <v>313</v>
      </c>
      <c r="C29" s="5">
        <v>1000</v>
      </c>
      <c r="D29" s="5">
        <v>1500</v>
      </c>
      <c r="E29" s="5">
        <v>5000</v>
      </c>
      <c r="F29" s="44">
        <f t="shared" si="1"/>
        <v>1500</v>
      </c>
    </row>
    <row r="30" spans="1:6" ht="15" customHeight="1" x14ac:dyDescent="0.2">
      <c r="A30" s="28" t="s">
        <v>158</v>
      </c>
      <c r="B30" s="6" t="s">
        <v>313</v>
      </c>
      <c r="C30" s="5">
        <v>4000</v>
      </c>
      <c r="D30" s="5">
        <v>7000</v>
      </c>
      <c r="E30" s="5">
        <v>10000</v>
      </c>
      <c r="F30" s="13">
        <f t="shared" si="1"/>
        <v>7000</v>
      </c>
    </row>
    <row r="31" spans="1:6" ht="15" customHeight="1" x14ac:dyDescent="0.2">
      <c r="A31" s="29" t="s">
        <v>159</v>
      </c>
      <c r="B31" s="63" t="s">
        <v>313</v>
      </c>
      <c r="C31" s="5">
        <v>4000</v>
      </c>
      <c r="D31" s="5">
        <v>5500</v>
      </c>
      <c r="E31" s="5">
        <v>15000</v>
      </c>
      <c r="F31" s="44">
        <f t="shared" si="1"/>
        <v>5500</v>
      </c>
    </row>
    <row r="32" spans="1:6" ht="15" customHeight="1" x14ac:dyDescent="0.2">
      <c r="A32" s="26" t="s">
        <v>319</v>
      </c>
      <c r="B32" s="26"/>
      <c r="C32" s="27">
        <f>SUM(C24:C31)</f>
        <v>120000</v>
      </c>
      <c r="D32" s="27">
        <f>SUM(D24:D31)</f>
        <v>213500</v>
      </c>
      <c r="E32" s="27">
        <f>SUM(E24:E31)</f>
        <v>394000</v>
      </c>
      <c r="F32" s="27">
        <f>SUM(F24:F31)</f>
        <v>213500</v>
      </c>
    </row>
    <row r="34" spans="1:8" ht="19.5" customHeight="1" x14ac:dyDescent="0.2">
      <c r="A34" s="125" t="s">
        <v>320</v>
      </c>
      <c r="B34" s="125"/>
      <c r="C34" s="125"/>
      <c r="D34" s="125"/>
      <c r="E34" s="125"/>
      <c r="F34" s="125"/>
    </row>
    <row r="35" spans="1:8" ht="15" customHeight="1" x14ac:dyDescent="0.2">
      <c r="A35" s="28" t="s">
        <v>321</v>
      </c>
      <c r="B35" s="6" t="s">
        <v>314</v>
      </c>
      <c r="C35" s="51">
        <v>0</v>
      </c>
      <c r="D35" s="51">
        <v>1</v>
      </c>
      <c r="E35" s="51">
        <v>2</v>
      </c>
      <c r="F35" s="14">
        <f>CHOOSE($H$2,C35,D35,E35)</f>
        <v>1</v>
      </c>
    </row>
    <row r="36" spans="1:8" ht="15" customHeight="1" x14ac:dyDescent="0.2">
      <c r="A36" s="29" t="s">
        <v>322</v>
      </c>
      <c r="B36" s="63" t="s">
        <v>323</v>
      </c>
      <c r="C36" s="5">
        <v>0</v>
      </c>
      <c r="D36" s="5">
        <v>100</v>
      </c>
      <c r="E36" s="5">
        <v>200</v>
      </c>
      <c r="F36" s="44">
        <f>CHOOSE($H$2,C36,D36,E36)</f>
        <v>100</v>
      </c>
    </row>
    <row r="38" spans="1:8" ht="19.5" customHeight="1" x14ac:dyDescent="0.2">
      <c r="A38" s="125" t="s">
        <v>324</v>
      </c>
      <c r="B38" s="125"/>
      <c r="C38" s="125"/>
      <c r="D38" s="125"/>
      <c r="E38" s="125"/>
      <c r="F38" s="125"/>
      <c r="H38" s="60">
        <f>Dashboard!B22+Dashboard!B23*1.5+Dashboard!B24</f>
        <v>3328</v>
      </c>
    </row>
    <row r="39" spans="1:8" ht="24" customHeight="1" x14ac:dyDescent="0.2">
      <c r="A39" s="15" t="s">
        <v>46</v>
      </c>
      <c r="B39" s="15"/>
      <c r="C39" s="15" t="s">
        <v>309</v>
      </c>
      <c r="D39" s="15" t="s">
        <v>305</v>
      </c>
      <c r="E39" s="15" t="s">
        <v>310</v>
      </c>
      <c r="F39" s="15"/>
      <c r="H39" s="60">
        <f>IF(Details!G51="OFF",0,SUMPRODUCT((Details!B53:B68="ON")*Details!C53:C68*Details!D53:D68*Details!E53:E68))</f>
        <v>0</v>
      </c>
    </row>
    <row r="40" spans="1:8" ht="15" customHeight="1" x14ac:dyDescent="0.2">
      <c r="A40" s="28" t="s">
        <v>68</v>
      </c>
      <c r="B40" s="28"/>
      <c r="C40" s="69">
        <f>C$56*C$8+C$57*C$9+(C$58*C$10+C$59*C$11)*$H$38+Dashboard!$B$25*C$10*1.5+$H$39*C$35+$H$40*(C$58+C$59)*C$36</f>
        <v>629424</v>
      </c>
      <c r="D40" s="69">
        <f>D$56*D$8+D$57*D$9+(D$58*D$10+D$59*D$11)*$H$38+Dashboard!$B$25*D$10*1.5+$H$39*D$35+$H$40*(D$58+D$59)*D$36</f>
        <v>651492</v>
      </c>
      <c r="E40" s="69">
        <f>E$56*E$8+E$57*E$9+(E$58*E$10+E$59*E$11)*$H$38+Dashboard!$B$25*E$10*1.5+$H$39*E$35+$H$40*(E$58+E$59)*E$36</f>
        <v>802980</v>
      </c>
      <c r="F40" s="28"/>
      <c r="H40" s="60">
        <f>IF(Details!B70="OFF",0,1)</f>
        <v>1</v>
      </c>
    </row>
    <row r="41" spans="1:8" ht="15" customHeight="1" x14ac:dyDescent="0.2">
      <c r="A41" s="29" t="s">
        <v>70</v>
      </c>
      <c r="B41" s="29"/>
      <c r="C41" s="70">
        <f>C40*(Details!$D$19+Details!$D$20+Details!$D$21)+Details!$B$22*(C$56+C$57+C$58+C$59)*Details!$D$22+Details!$E$23+Details!$E$24+(C$56*1500+(C$58+C$59)*1000)</f>
        <v>178877.21599999999</v>
      </c>
      <c r="D41" s="70">
        <f>D40*(Details!$D$19+Details!$D$20+Details!$D$21)+Details!$B$22*(D$56+D$57+D$58+D$59)*Details!$D$22+Details!$E$23+Details!$E$24+(D$56*1500+(D$58+D$59)*1000)</f>
        <v>182661.878</v>
      </c>
      <c r="E41" s="70">
        <f>E40*(Details!$D$19+Details!$D$20+Details!$D$21)+Details!$B$22*(E$56+E$57+E$58+E$59)*Details!$D$22+Details!$E$23+Details!$E$24+(E$56*1500+(E$58+E$59)*1000)</f>
        <v>209119.44499999998</v>
      </c>
      <c r="F41" s="29"/>
    </row>
    <row r="42" spans="1:8" ht="15" customHeight="1" x14ac:dyDescent="0.2">
      <c r="A42" s="28" t="s">
        <v>72</v>
      </c>
      <c r="B42" s="28"/>
      <c r="C42" s="69">
        <f>C21</f>
        <v>54360</v>
      </c>
      <c r="D42" s="69">
        <f>D21</f>
        <v>88578.5</v>
      </c>
      <c r="E42" s="69">
        <f>E21</f>
        <v>108802.5</v>
      </c>
      <c r="F42" s="28"/>
    </row>
    <row r="43" spans="1:8" ht="15" customHeight="1" x14ac:dyDescent="0.2">
      <c r="A43" s="29" t="s">
        <v>74</v>
      </c>
      <c r="B43" s="29"/>
      <c r="C43" s="70">
        <f>C32</f>
        <v>120000</v>
      </c>
      <c r="D43" s="70">
        <f>D32</f>
        <v>213500</v>
      </c>
      <c r="E43" s="70">
        <f>E32</f>
        <v>394000</v>
      </c>
      <c r="F43" s="29"/>
    </row>
    <row r="44" spans="1:8" ht="15" customHeight="1" x14ac:dyDescent="0.2">
      <c r="A44" s="26" t="s">
        <v>76</v>
      </c>
      <c r="B44" s="26"/>
      <c r="C44" s="71">
        <f>SUM(C40:C43)</f>
        <v>982661.21600000001</v>
      </c>
      <c r="D44" s="71">
        <f>SUM(D40:D43)</f>
        <v>1136232.378</v>
      </c>
      <c r="E44" s="71">
        <f>SUM(E40:E43)</f>
        <v>1514901.9449999998</v>
      </c>
      <c r="F44" s="26"/>
    </row>
    <row r="45" spans="1:8" ht="15" customHeight="1" x14ac:dyDescent="0.2">
      <c r="A45" s="29" t="s">
        <v>325</v>
      </c>
      <c r="B45" s="29"/>
      <c r="C45" s="70">
        <f>SUMPRODUCT(Details!$J$74:$J$116,Details!$D$74:$D$116)</f>
        <v>137704.4057375</v>
      </c>
      <c r="D45" s="70">
        <f>SUMPRODUCT(Details!$J$74:$J$116,Details!$E$74:$E$116)</f>
        <v>157354.40573750003</v>
      </c>
      <c r="E45" s="70">
        <f>SUMPRODUCT(Details!$J$74:$J$116,Details!$F$74:$F$116)</f>
        <v>177804.40573750003</v>
      </c>
      <c r="F45" s="29"/>
    </row>
    <row r="46" spans="1:8" ht="15" customHeight="1" x14ac:dyDescent="0.2">
      <c r="A46" s="28" t="s">
        <v>326</v>
      </c>
      <c r="B46" s="28"/>
      <c r="C46" s="69">
        <f>Budget!$C$36</f>
        <v>97801.080000000016</v>
      </c>
      <c r="D46" s="69">
        <f>Budget!$C$36</f>
        <v>97801.080000000016</v>
      </c>
      <c r="E46" s="69">
        <f>Budget!$C$36</f>
        <v>97801.080000000016</v>
      </c>
      <c r="F46" s="28"/>
    </row>
    <row r="47" spans="1:8" ht="15" customHeight="1" x14ac:dyDescent="0.2">
      <c r="A47" s="26" t="s">
        <v>4</v>
      </c>
      <c r="B47" s="26"/>
      <c r="C47" s="71">
        <f>C44+C45+C46+IF('Transfer Division'!$B$3="OFF",0,'Transfer Division'!C39)</f>
        <v>1790978.1303089287</v>
      </c>
      <c r="D47" s="71">
        <f>D44+D45+D46+IF('Transfer Division'!$B$3="OFF",0,'Transfer Division'!D39)</f>
        <v>2035252.2208803573</v>
      </c>
      <c r="E47" s="71">
        <f>E44+E45+E46+IF('Transfer Division'!$B$3="OFF",0,'Transfer Division'!E39)</f>
        <v>2521737.0021660714</v>
      </c>
      <c r="F47" s="26"/>
    </row>
    <row r="48" spans="1:8" ht="15" customHeight="1" x14ac:dyDescent="0.2">
      <c r="A48" s="28" t="s">
        <v>327</v>
      </c>
      <c r="B48" s="28"/>
      <c r="C48" s="69">
        <f>SUM(Budget!$C$5:$C$11)+IF('Transfer Division'!$B$3="OFF",0,'Transfer Division'!C38)</f>
        <v>2558886.0345000001</v>
      </c>
      <c r="D48" s="69">
        <f>SUM(Budget!$C$5:$C$11)+IF('Transfer Division'!$B$3="OFF",0,'Transfer Division'!D38)</f>
        <v>2558886.0345000001</v>
      </c>
      <c r="E48" s="69">
        <f>SUM(Budget!$C$5:$C$11)+IF('Transfer Division'!$B$3="OFF",0,'Transfer Division'!E38)</f>
        <v>2558886.0345000001</v>
      </c>
      <c r="F48" s="28"/>
    </row>
    <row r="49" spans="1:6" ht="15" customHeight="1" x14ac:dyDescent="0.2">
      <c r="A49" s="29" t="s">
        <v>94</v>
      </c>
      <c r="B49" s="29"/>
      <c r="C49" s="72">
        <f>C48-C47</f>
        <v>767907.9041910714</v>
      </c>
      <c r="D49" s="72">
        <f>D48-D47</f>
        <v>523633.81361964275</v>
      </c>
      <c r="E49" s="72">
        <f>E48-E47</f>
        <v>37149.032333928626</v>
      </c>
      <c r="F49" s="29"/>
    </row>
    <row r="50" spans="1:6" ht="15" customHeight="1" x14ac:dyDescent="0.2">
      <c r="A50" s="28" t="s">
        <v>328</v>
      </c>
      <c r="B50" s="28"/>
      <c r="C50" s="73">
        <f>IF(Dashboard!$B$5*Dashboard!$B$7=0,0,(C47-Budget!$C$6-SUM(Budget!$C$7:$C$11)-IF('Transfer Division'!$B$3="OFF",0,'Transfer Division'!C38))/(Dashboard!$B$5*Dashboard!$B$7))</f>
        <v>7.6570068595433578E-4</v>
      </c>
      <c r="D50" s="73">
        <f>IF(Dashboard!$B$5*Dashboard!$B$7=0,0,(D47-Budget!$C$6-SUM(Budget!$C$7:$C$11)-IF('Transfer Division'!$B$3="OFF",0,'Transfer Division'!D38))/(Dashboard!$B$5*Dashboard!$B$7))</f>
        <v>1.476438822681562E-3</v>
      </c>
      <c r="E50" s="73">
        <f>IF(Dashboard!$B$5*Dashboard!$B$7=0,0,(E47-Budget!$C$6-SUM(Budget!$C$7:$C$11)-IF('Transfer Division'!$B$3="OFF",0,'Transfer Division'!E38))/(Dashboard!$B$5*Dashboard!$B$7))</f>
        <v>2.8919114427548541E-3</v>
      </c>
      <c r="F50" s="28"/>
    </row>
    <row r="52" spans="1:6" ht="15" customHeight="1" x14ac:dyDescent="0.2">
      <c r="A52" s="3" t="s">
        <v>329</v>
      </c>
    </row>
    <row r="54" spans="1:6" ht="19.5" customHeight="1" x14ac:dyDescent="0.2">
      <c r="A54" s="125" t="s">
        <v>330</v>
      </c>
      <c r="B54" s="125"/>
      <c r="C54" s="125"/>
      <c r="D54" s="125"/>
      <c r="E54" s="125"/>
      <c r="F54" s="125"/>
    </row>
    <row r="55" spans="1:6" ht="15" customHeight="1" x14ac:dyDescent="0.2">
      <c r="A55" s="15" t="s">
        <v>331</v>
      </c>
      <c r="B55" s="15" t="s">
        <v>308</v>
      </c>
      <c r="C55" s="15" t="s">
        <v>309</v>
      </c>
      <c r="D55" s="15" t="s">
        <v>305</v>
      </c>
      <c r="E55" s="15" t="s">
        <v>310</v>
      </c>
      <c r="F55" s="15" t="s">
        <v>311</v>
      </c>
    </row>
    <row r="56" spans="1:6" ht="15" customHeight="1" x14ac:dyDescent="0.2">
      <c r="A56" s="28" t="s">
        <v>23</v>
      </c>
      <c r="B56" s="6" t="s">
        <v>188</v>
      </c>
      <c r="C56" s="74">
        <v>2</v>
      </c>
      <c r="D56" s="74">
        <v>2</v>
      </c>
      <c r="E56" s="74">
        <v>2</v>
      </c>
      <c r="F56" s="75">
        <f>CHOOSE($H$2,C56,D56,E56)</f>
        <v>2</v>
      </c>
    </row>
    <row r="57" spans="1:6" ht="15" customHeight="1" x14ac:dyDescent="0.2">
      <c r="A57" s="28" t="s">
        <v>26</v>
      </c>
      <c r="B57" s="6" t="s">
        <v>188</v>
      </c>
      <c r="C57" s="74">
        <v>0</v>
      </c>
      <c r="D57" s="74">
        <v>0</v>
      </c>
      <c r="E57" s="74">
        <v>1</v>
      </c>
      <c r="F57" s="75">
        <f>CHOOSE($H$2,C57,D57,E57)</f>
        <v>0</v>
      </c>
    </row>
    <row r="58" spans="1:6" ht="15" customHeight="1" x14ac:dyDescent="0.2">
      <c r="A58" s="28" t="s">
        <v>28</v>
      </c>
      <c r="B58" s="6" t="s">
        <v>188</v>
      </c>
      <c r="C58" s="74">
        <v>3</v>
      </c>
      <c r="D58" s="74">
        <v>3</v>
      </c>
      <c r="E58" s="74">
        <v>3</v>
      </c>
      <c r="F58" s="75">
        <f>CHOOSE($H$2,C58,D58,E58)</f>
        <v>3</v>
      </c>
    </row>
    <row r="59" spans="1:6" ht="15" customHeight="1" x14ac:dyDescent="0.2">
      <c r="A59" s="28" t="s">
        <v>30</v>
      </c>
      <c r="B59" s="6" t="s">
        <v>188</v>
      </c>
      <c r="C59" s="74">
        <v>3</v>
      </c>
      <c r="D59" s="74">
        <v>3</v>
      </c>
      <c r="E59" s="74">
        <v>3</v>
      </c>
      <c r="F59" s="75">
        <f>CHOOSE($H$2,C59,D59,E59)</f>
        <v>3</v>
      </c>
    </row>
    <row r="60" spans="1:6" ht="15" customHeight="1" x14ac:dyDescent="0.2">
      <c r="A60" s="76" t="s">
        <v>332</v>
      </c>
      <c r="B60" s="76"/>
      <c r="C60" s="77">
        <f>SUM(C56:C59)</f>
        <v>8</v>
      </c>
      <c r="D60" s="77">
        <f>SUM(D56:D59)</f>
        <v>8</v>
      </c>
      <c r="E60" s="77">
        <f>SUM(E56:E59)</f>
        <v>9</v>
      </c>
      <c r="F60" s="78">
        <f>SUM(F56:F59)</f>
        <v>8</v>
      </c>
    </row>
    <row r="61" spans="1:6" ht="19.5" customHeight="1" x14ac:dyDescent="0.2">
      <c r="A61" s="120" t="s">
        <v>333</v>
      </c>
      <c r="B61" s="120"/>
      <c r="C61" s="120"/>
      <c r="D61" s="120"/>
      <c r="E61" s="120"/>
    </row>
    <row r="62" spans="1:6" ht="15" customHeight="1" x14ac:dyDescent="0.2">
      <c r="A62" s="79" t="s">
        <v>331</v>
      </c>
      <c r="B62" s="79" t="s">
        <v>308</v>
      </c>
      <c r="C62" s="79" t="s">
        <v>309</v>
      </c>
      <c r="D62" s="79" t="s">
        <v>305</v>
      </c>
      <c r="E62" s="79" t="s">
        <v>310</v>
      </c>
    </row>
    <row r="63" spans="1:6" ht="15" customHeight="1" x14ac:dyDescent="0.2">
      <c r="A63" s="28" t="s">
        <v>334</v>
      </c>
      <c r="B63" s="66" t="s">
        <v>335</v>
      </c>
      <c r="C63" s="80">
        <f>C10*(Dashboard!$B$22+Dashboard!$B$23*1.5)</f>
        <v>66560</v>
      </c>
      <c r="D63" s="80">
        <f>D10*(Dashboard!$B$22+Dashboard!$B$23*1.5)</f>
        <v>69888</v>
      </c>
      <c r="E63" s="80">
        <f>E10*(Dashboard!$B$22+Dashboard!$B$23*1.5)</f>
        <v>83200</v>
      </c>
    </row>
    <row r="64" spans="1:6" ht="15" customHeight="1" x14ac:dyDescent="0.2">
      <c r="A64" s="28" t="s">
        <v>336</v>
      </c>
      <c r="B64" s="66" t="s">
        <v>335</v>
      </c>
      <c r="C64" s="80">
        <f>C11*(Dashboard!$B$22+Dashboard!$B$23*1.5)</f>
        <v>53248</v>
      </c>
      <c r="D64" s="80">
        <f>D11*(Dashboard!$B$22+Dashboard!$B$23*1.5)</f>
        <v>56576</v>
      </c>
      <c r="E64" s="80">
        <f>E11*(Dashboard!$B$22+Dashboard!$B$23*1.5)</f>
        <v>66560</v>
      </c>
    </row>
    <row r="65" spans="1:5" ht="15" customHeight="1" x14ac:dyDescent="0.2">
      <c r="A65" s="131" t="s">
        <v>337</v>
      </c>
      <c r="B65" s="131"/>
      <c r="C65" s="131"/>
      <c r="D65" s="131"/>
      <c r="E65" s="131"/>
    </row>
  </sheetData>
  <mergeCells count="9">
    <mergeCell ref="A38:F38"/>
    <mergeCell ref="A54:F54"/>
    <mergeCell ref="A61:E61"/>
    <mergeCell ref="A65:E65"/>
    <mergeCell ref="A1:F1"/>
    <mergeCell ref="A7:F7"/>
    <mergeCell ref="A13:F13"/>
    <mergeCell ref="A23:F23"/>
    <mergeCell ref="A34:F34"/>
  </mergeCells>
  <conditionalFormatting sqref="B3">
    <cfRule type="cellIs" dxfId="22" priority="2" operator="equal">
      <formula>"IDEAL"</formula>
    </cfRule>
    <cfRule type="cellIs" dxfId="21" priority="3" operator="equal">
      <formula>"AVERAGE"</formula>
    </cfRule>
    <cfRule type="cellIs" dxfId="20" priority="4" operator="equal">
      <formula>"BARE MINIMUM"</formula>
    </cfRule>
  </conditionalFormatting>
  <conditionalFormatting sqref="C39:C50">
    <cfRule type="expression" dxfId="19" priority="7">
      <formula>$H$2=1</formula>
    </cfRule>
  </conditionalFormatting>
  <conditionalFormatting sqref="C55:C59">
    <cfRule type="expression" dxfId="18" priority="10">
      <formula>$H$2=1</formula>
    </cfRule>
  </conditionalFormatting>
  <conditionalFormatting sqref="C62:C64">
    <cfRule type="expression" dxfId="17" priority="13">
      <formula>$H$2=1</formula>
    </cfRule>
  </conditionalFormatting>
  <conditionalFormatting sqref="C49:E49">
    <cfRule type="cellIs" dxfId="16" priority="5" operator="greaterThanOrEqual">
      <formula>0</formula>
    </cfRule>
    <cfRule type="cellIs" dxfId="15" priority="6" operator="lessThan">
      <formula>0</formula>
    </cfRule>
  </conditionalFormatting>
  <conditionalFormatting sqref="D39:D50">
    <cfRule type="expression" dxfId="14" priority="8">
      <formula>$H$2=2</formula>
    </cfRule>
  </conditionalFormatting>
  <conditionalFormatting sqref="D55:D59">
    <cfRule type="expression" dxfId="13" priority="11">
      <formula>$H$2=2</formula>
    </cfRule>
  </conditionalFormatting>
  <conditionalFormatting sqref="D62:D64">
    <cfRule type="expression" dxfId="12" priority="14">
      <formula>$H$2=2</formula>
    </cfRule>
  </conditionalFormatting>
  <conditionalFormatting sqref="E39:E50">
    <cfRule type="expression" dxfId="11" priority="9">
      <formula>$H$2=3</formula>
    </cfRule>
  </conditionalFormatting>
  <conditionalFormatting sqref="E55:E59">
    <cfRule type="expression" dxfId="10" priority="12">
      <formula>$H$2=3</formula>
    </cfRule>
  </conditionalFormatting>
  <conditionalFormatting sqref="E62:E64">
    <cfRule type="expression" dxfId="9" priority="15">
      <formula>$H$2=3</formula>
    </cfRule>
  </conditionalFormatting>
  <dataValidations count="1">
    <dataValidation type="list" sqref="B3" xr:uid="{00000000-0002-0000-0300-000000000000}">
      <formula1>"BARE MINIMUM,AVERAGE,IDEAL"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H65"/>
  <sheetViews>
    <sheetView showGridLines="0" topLeftCell="A44" zoomScale="159" workbookViewId="0">
      <selection activeCell="B4" sqref="B4:D4"/>
    </sheetView>
  </sheetViews>
  <sheetFormatPr baseColWidth="10" defaultColWidth="8.6640625" defaultRowHeight="15" x14ac:dyDescent="0.2"/>
  <cols>
    <col min="1" max="1" width="40" customWidth="1"/>
    <col min="2" max="2" width="17" customWidth="1"/>
    <col min="3" max="5" width="14" customWidth="1"/>
    <col min="6" max="6" width="15" hidden="1" customWidth="1"/>
    <col min="7" max="7" width="42" customWidth="1"/>
    <col min="8" max="8" width="4" customWidth="1"/>
  </cols>
  <sheetData>
    <row r="1" spans="1:8" ht="30" customHeight="1" x14ac:dyDescent="0.2">
      <c r="A1" s="118" t="s">
        <v>338</v>
      </c>
      <c r="B1" s="118"/>
      <c r="C1" s="118"/>
      <c r="D1" s="118"/>
      <c r="E1" s="118"/>
      <c r="F1" s="118"/>
      <c r="G1" s="118"/>
    </row>
    <row r="2" spans="1:8" ht="15" customHeight="1" x14ac:dyDescent="0.2">
      <c r="A2" s="81" t="s">
        <v>339</v>
      </c>
    </row>
    <row r="3" spans="1:8" ht="24" customHeight="1" x14ac:dyDescent="0.2">
      <c r="A3" s="82" t="s">
        <v>340</v>
      </c>
      <c r="B3" s="83" t="s">
        <v>163</v>
      </c>
    </row>
    <row r="4" spans="1:8" ht="24" customHeight="1" x14ac:dyDescent="0.2">
      <c r="A4" s="82" t="s">
        <v>341</v>
      </c>
      <c r="B4" s="119" t="s">
        <v>403</v>
      </c>
      <c r="C4" s="119"/>
      <c r="D4" s="119"/>
      <c r="E4" s="1" t="s">
        <v>343</v>
      </c>
      <c r="H4" s="84">
        <f>IFERROR(MATCH($B$4,$A$45:$A$49,0),1)</f>
        <v>4</v>
      </c>
    </row>
    <row r="5" spans="1:8" ht="15" customHeight="1" x14ac:dyDescent="0.2">
      <c r="A5" s="85" t="s">
        <v>307</v>
      </c>
      <c r="B5" s="85" t="s">
        <v>308</v>
      </c>
      <c r="C5" s="85" t="s">
        <v>309</v>
      </c>
      <c r="D5" s="85" t="s">
        <v>305</v>
      </c>
      <c r="E5" s="85" t="s">
        <v>310</v>
      </c>
      <c r="F5" s="85"/>
      <c r="G5" s="85" t="s">
        <v>344</v>
      </c>
    </row>
    <row r="6" spans="1:8" ht="19.5" customHeight="1" x14ac:dyDescent="0.2">
      <c r="A6" s="120" t="s">
        <v>345</v>
      </c>
      <c r="B6" s="120"/>
      <c r="C6" s="120"/>
      <c r="D6" s="120"/>
      <c r="E6" s="120"/>
      <c r="F6" s="120"/>
      <c r="G6" s="120"/>
    </row>
    <row r="7" spans="1:8" ht="15" customHeight="1" x14ac:dyDescent="0.2">
      <c r="A7" s="28" t="s">
        <v>346</v>
      </c>
      <c r="B7" s="66" t="s">
        <v>347</v>
      </c>
      <c r="C7" s="86">
        <v>1500</v>
      </c>
      <c r="D7" s="86">
        <v>1500</v>
      </c>
      <c r="E7" s="86">
        <v>1500</v>
      </c>
      <c r="F7" s="87">
        <f>CHOOSE(Scenarios!$H$2,C7,D7,E7)</f>
        <v>1500</v>
      </c>
      <c r="G7" s="88"/>
    </row>
    <row r="8" spans="1:8" ht="30" customHeight="1" x14ac:dyDescent="0.2">
      <c r="A8" s="28" t="s">
        <v>348</v>
      </c>
      <c r="B8" s="66" t="s">
        <v>349</v>
      </c>
      <c r="C8" s="89">
        <f>INDEX($C$45:$C$49,$H$4)</f>
        <v>825</v>
      </c>
      <c r="D8" s="89">
        <f>INDEX($C$45:$C$49,$H$4)</f>
        <v>825</v>
      </c>
      <c r="E8" s="89">
        <f>INDEX($C$45:$C$49,$H$4)</f>
        <v>825</v>
      </c>
      <c r="F8" s="67">
        <f>CHOOSE(Scenarios!$H$2,C8,D8,E8)</f>
        <v>825</v>
      </c>
      <c r="G8" s="88" t="s">
        <v>350</v>
      </c>
    </row>
    <row r="9" spans="1:8" ht="15" customHeight="1" x14ac:dyDescent="0.2">
      <c r="A9" s="28" t="s">
        <v>20</v>
      </c>
      <c r="B9" s="66" t="s">
        <v>351</v>
      </c>
      <c r="C9" s="90">
        <v>5.5E-2</v>
      </c>
      <c r="D9" s="90">
        <v>5.5E-2</v>
      </c>
      <c r="E9" s="90">
        <v>5.5E-2</v>
      </c>
      <c r="F9" s="91">
        <f>CHOOSE(Scenarios!$H$2,C9,D9,E9)</f>
        <v>5.5E-2</v>
      </c>
      <c r="G9" s="88"/>
    </row>
    <row r="10" spans="1:8" ht="15" customHeight="1" x14ac:dyDescent="0.2">
      <c r="A10" s="28" t="s">
        <v>352</v>
      </c>
      <c r="B10" s="66" t="s">
        <v>313</v>
      </c>
      <c r="C10" s="89">
        <f>C7*C8</f>
        <v>1237500</v>
      </c>
      <c r="D10" s="89">
        <f>D7*D8</f>
        <v>1237500</v>
      </c>
      <c r="E10" s="89">
        <f>E7*E8</f>
        <v>1237500</v>
      </c>
      <c r="F10" s="67">
        <f>CHOOSE(Scenarios!$H$2,C10,D10,E10)</f>
        <v>1237500</v>
      </c>
      <c r="G10" s="88"/>
      <c r="H10" s="92">
        <f>IF($B$3="OFF",0,CHOOSE(Scenarios!$H$2,C7,D7,E7))</f>
        <v>1500</v>
      </c>
    </row>
    <row r="11" spans="1:8" ht="15" customHeight="1" x14ac:dyDescent="0.2">
      <c r="A11" s="28" t="s">
        <v>353</v>
      </c>
      <c r="B11" s="66" t="s">
        <v>313</v>
      </c>
      <c r="C11" s="89">
        <f>C10*C9</f>
        <v>68062.5</v>
      </c>
      <c r="D11" s="89">
        <f>D10*D9</f>
        <v>68062.5</v>
      </c>
      <c r="E11" s="89">
        <f>E10*E9</f>
        <v>68062.5</v>
      </c>
      <c r="F11" s="67">
        <f>CHOOSE(Scenarios!$H$2,C11,D11,E11)</f>
        <v>68062.5</v>
      </c>
      <c r="G11" s="88"/>
    </row>
    <row r="12" spans="1:8" ht="19.5" customHeight="1" x14ac:dyDescent="0.2">
      <c r="A12" s="120" t="s">
        <v>354</v>
      </c>
      <c r="B12" s="120"/>
      <c r="C12" s="120"/>
      <c r="D12" s="120"/>
      <c r="E12" s="120"/>
      <c r="F12" s="120"/>
      <c r="G12" s="120"/>
    </row>
    <row r="13" spans="1:8" ht="15" customHeight="1" x14ac:dyDescent="0.2">
      <c r="A13" s="28" t="s">
        <v>355</v>
      </c>
      <c r="B13" s="66" t="s">
        <v>356</v>
      </c>
      <c r="C13" s="93">
        <v>10</v>
      </c>
      <c r="D13" s="93">
        <v>10</v>
      </c>
      <c r="E13" s="93">
        <v>10</v>
      </c>
      <c r="F13" s="94">
        <f>CHOOSE(Scenarios!$H$2,C13,D13,E13)</f>
        <v>10</v>
      </c>
      <c r="G13" s="88"/>
    </row>
    <row r="14" spans="1:8" ht="15" customHeight="1" x14ac:dyDescent="0.2">
      <c r="A14" s="28" t="s">
        <v>357</v>
      </c>
      <c r="B14" s="66" t="s">
        <v>358</v>
      </c>
      <c r="C14" s="93">
        <v>5</v>
      </c>
      <c r="D14" s="93">
        <v>5</v>
      </c>
      <c r="E14" s="93">
        <v>5</v>
      </c>
      <c r="F14" s="94">
        <f>CHOOSE(Scenarios!$H$2,C14,D14,E14)</f>
        <v>5</v>
      </c>
      <c r="G14" s="88"/>
    </row>
    <row r="15" spans="1:8" ht="15" customHeight="1" x14ac:dyDescent="0.2">
      <c r="A15" s="28" t="s">
        <v>359</v>
      </c>
      <c r="B15" s="66" t="s">
        <v>33</v>
      </c>
      <c r="C15" s="95">
        <f>C13*C14*365/7</f>
        <v>2607.1428571428573</v>
      </c>
      <c r="D15" s="95">
        <f>D13*D14*365/7</f>
        <v>2607.1428571428573</v>
      </c>
      <c r="E15" s="95">
        <f>E13*E14*365/7</f>
        <v>2607.1428571428573</v>
      </c>
      <c r="F15" s="87">
        <f>CHOOSE(Scenarios!$H$2,C15,D15,E15)</f>
        <v>2607.1428571428573</v>
      </c>
      <c r="G15" s="88"/>
    </row>
    <row r="16" spans="1:8" ht="15" customHeight="1" x14ac:dyDescent="0.2">
      <c r="A16" s="28" t="s">
        <v>360</v>
      </c>
      <c r="B16" s="66" t="s">
        <v>314</v>
      </c>
      <c r="C16" s="96">
        <v>20</v>
      </c>
      <c r="D16" s="96">
        <v>26</v>
      </c>
      <c r="E16" s="96">
        <v>28</v>
      </c>
      <c r="F16" s="97">
        <f>CHOOSE(Scenarios!$H$2,C16,D16,E16)</f>
        <v>26</v>
      </c>
      <c r="G16" s="88"/>
    </row>
    <row r="17" spans="1:7" ht="15" customHeight="1" x14ac:dyDescent="0.2">
      <c r="A17" s="28" t="s">
        <v>361</v>
      </c>
      <c r="B17" s="66" t="s">
        <v>314</v>
      </c>
      <c r="C17" s="96">
        <v>24</v>
      </c>
      <c r="D17" s="96">
        <v>28</v>
      </c>
      <c r="E17" s="96">
        <v>30</v>
      </c>
      <c r="F17" s="97">
        <f>CHOOSE(Scenarios!$H$2,C17,D17,E17)</f>
        <v>28</v>
      </c>
      <c r="G17" s="88"/>
    </row>
    <row r="18" spans="1:7" ht="30" customHeight="1" x14ac:dyDescent="0.2">
      <c r="A18" s="28" t="s">
        <v>362</v>
      </c>
      <c r="B18" s="66" t="s">
        <v>314</v>
      </c>
      <c r="C18" s="96">
        <v>26</v>
      </c>
      <c r="D18" s="96">
        <v>30</v>
      </c>
      <c r="E18" s="96">
        <v>32</v>
      </c>
      <c r="F18" s="97">
        <f>CHOOSE(Scenarios!$H$2,C18,D18,E18)</f>
        <v>30</v>
      </c>
      <c r="G18" s="88" t="s">
        <v>363</v>
      </c>
    </row>
    <row r="19" spans="1:7" ht="30" customHeight="1" x14ac:dyDescent="0.2">
      <c r="A19" s="28" t="s">
        <v>364</v>
      </c>
      <c r="B19" s="66" t="s">
        <v>313</v>
      </c>
      <c r="C19" s="89">
        <f>C15*(CHOOSE($H$4,2,4,3,0,2)*C16+CHOOSE($H$4,2,0,1,2,1)*C17+CHOOSE($H$4,0,0,0,2,1)*C18)</f>
        <v>260714.28571428574</v>
      </c>
      <c r="D19" s="89">
        <f>D15*(CHOOSE($H$4,2,4,3,0,2)*D16+CHOOSE($H$4,2,0,1,2,1)*D17+CHOOSE($H$4,0,0,0,2,1)*D18)</f>
        <v>302428.57142857148</v>
      </c>
      <c r="E19" s="89">
        <f>E15*(CHOOSE($H$4,2,4,3,0,2)*E16+CHOOSE($H$4,2,0,1,2,1)*E17+CHOOSE($H$4,0,0,0,2,1)*E18)</f>
        <v>323285.71428571432</v>
      </c>
      <c r="F19" s="67">
        <f>CHOOSE(Scenarios!$H$2,C19,D19,E19)</f>
        <v>302428.57142857148</v>
      </c>
      <c r="G19" s="88" t="s">
        <v>365</v>
      </c>
    </row>
    <row r="20" spans="1:7" ht="15" customHeight="1" x14ac:dyDescent="0.2">
      <c r="A20" s="28" t="s">
        <v>366</v>
      </c>
      <c r="B20" s="66" t="s">
        <v>313</v>
      </c>
      <c r="C20" s="98">
        <v>60000</v>
      </c>
      <c r="D20" s="98">
        <v>75000</v>
      </c>
      <c r="E20" s="98">
        <v>100000</v>
      </c>
      <c r="F20" s="67">
        <f>CHOOSE(Scenarios!$H$2,C20,D20,E20)</f>
        <v>75000</v>
      </c>
      <c r="G20" s="88"/>
    </row>
    <row r="21" spans="1:7" ht="15" customHeight="1" x14ac:dyDescent="0.2">
      <c r="A21" s="28" t="s">
        <v>144</v>
      </c>
      <c r="B21" s="66" t="s">
        <v>313</v>
      </c>
      <c r="C21" s="89">
        <f>(C19+C20)*(Details!$D$19+Details!$D$20)</f>
        <v>24534.642857142859</v>
      </c>
      <c r="D21" s="89">
        <f>(D19+D20)*(Details!$D$19+Details!$D$20)</f>
        <v>28873.285714285717</v>
      </c>
      <c r="E21" s="89">
        <f>(E19+E20)*(Details!$D$19+Details!$D$20)</f>
        <v>32381.357142857145</v>
      </c>
      <c r="F21" s="67">
        <f>CHOOSE(Scenarios!$H$2,C21,D21,E21)</f>
        <v>28873.285714285717</v>
      </c>
      <c r="G21" s="88"/>
    </row>
    <row r="22" spans="1:7" ht="15" customHeight="1" x14ac:dyDescent="0.2">
      <c r="A22" s="28" t="s">
        <v>145</v>
      </c>
      <c r="B22" s="66" t="s">
        <v>313</v>
      </c>
      <c r="C22" s="98">
        <v>12000</v>
      </c>
      <c r="D22" s="98">
        <v>15000</v>
      </c>
      <c r="E22" s="98">
        <v>20000</v>
      </c>
      <c r="F22" s="67">
        <f>CHOOSE(Scenarios!$H$2,C22,D22,E22)</f>
        <v>15000</v>
      </c>
      <c r="G22" s="88"/>
    </row>
    <row r="23" spans="1:7" ht="15" customHeight="1" x14ac:dyDescent="0.2">
      <c r="A23" s="28" t="s">
        <v>367</v>
      </c>
      <c r="B23" s="66" t="s">
        <v>188</v>
      </c>
      <c r="C23" s="93">
        <v>25</v>
      </c>
      <c r="D23" s="93">
        <v>25</v>
      </c>
      <c r="E23" s="93">
        <v>25</v>
      </c>
      <c r="F23" s="94">
        <f>CHOOSE(Scenarios!$H$2,C23,D23,E23)</f>
        <v>25</v>
      </c>
      <c r="G23" s="88"/>
    </row>
    <row r="24" spans="1:7" ht="15" customHeight="1" x14ac:dyDescent="0.2">
      <c r="A24" s="28" t="s">
        <v>368</v>
      </c>
      <c r="B24" s="66" t="s">
        <v>313</v>
      </c>
      <c r="C24" s="89">
        <f>C23*300</f>
        <v>7500</v>
      </c>
      <c r="D24" s="89">
        <f>D23*300</f>
        <v>7500</v>
      </c>
      <c r="E24" s="89">
        <f>E23*300</f>
        <v>7500</v>
      </c>
      <c r="F24" s="67">
        <f>CHOOSE(Scenarios!$H$2,C24,D24,E24)</f>
        <v>7500</v>
      </c>
      <c r="G24" s="88"/>
    </row>
    <row r="25" spans="1:7" ht="19.5" customHeight="1" x14ac:dyDescent="0.2">
      <c r="A25" s="120" t="s">
        <v>369</v>
      </c>
      <c r="B25" s="120"/>
      <c r="C25" s="120"/>
      <c r="D25" s="120"/>
      <c r="E25" s="120"/>
      <c r="F25" s="120"/>
      <c r="G25" s="120"/>
    </row>
    <row r="26" spans="1:7" ht="15" customHeight="1" x14ac:dyDescent="0.2">
      <c r="A26" s="28" t="s">
        <v>370</v>
      </c>
      <c r="B26" s="66" t="s">
        <v>313</v>
      </c>
      <c r="C26" s="98">
        <v>10000</v>
      </c>
      <c r="D26" s="98">
        <v>15000</v>
      </c>
      <c r="E26" s="98">
        <v>30000</v>
      </c>
      <c r="F26" s="67">
        <f>CHOOSE(Scenarios!$H$2,C26,D26,E26)</f>
        <v>15000</v>
      </c>
      <c r="G26" s="88"/>
    </row>
    <row r="27" spans="1:7" ht="15" customHeight="1" x14ac:dyDescent="0.2">
      <c r="A27" s="28" t="s">
        <v>371</v>
      </c>
      <c r="B27" s="66" t="s">
        <v>313</v>
      </c>
      <c r="C27" s="98">
        <v>10000</v>
      </c>
      <c r="D27" s="98">
        <v>12000</v>
      </c>
      <c r="E27" s="98">
        <v>30000</v>
      </c>
      <c r="F27" s="67">
        <f>CHOOSE(Scenarios!$H$2,C27,D27,E27)</f>
        <v>12000</v>
      </c>
      <c r="G27" s="88"/>
    </row>
    <row r="28" spans="1:7" ht="15" customHeight="1" x14ac:dyDescent="0.2">
      <c r="A28" s="28" t="s">
        <v>372</v>
      </c>
      <c r="B28" s="66" t="s">
        <v>349</v>
      </c>
      <c r="C28" s="99">
        <f>INDEX($E$45:$E$49,$H$4)</f>
        <v>20</v>
      </c>
      <c r="D28" s="99">
        <f>INDEX($E$45:$E$49,$H$4)</f>
        <v>20</v>
      </c>
      <c r="E28" s="99">
        <f>INDEX($E$45:$E$49,$H$4)</f>
        <v>20</v>
      </c>
      <c r="F28" s="97">
        <f>CHOOSE(Scenarios!$H$2,C28,D28,E28)</f>
        <v>20</v>
      </c>
      <c r="G28" s="88" t="s">
        <v>373</v>
      </c>
    </row>
    <row r="29" spans="1:7" ht="15" customHeight="1" x14ac:dyDescent="0.2">
      <c r="A29" s="28" t="s">
        <v>374</v>
      </c>
      <c r="B29" s="66" t="s">
        <v>313</v>
      </c>
      <c r="C29" s="89">
        <f>C7*C28</f>
        <v>30000</v>
      </c>
      <c r="D29" s="89">
        <f>D7*D28</f>
        <v>30000</v>
      </c>
      <c r="E29" s="89">
        <f>E7*E28</f>
        <v>30000</v>
      </c>
      <c r="F29" s="67">
        <f>CHOOSE(Scenarios!$H$2,C29,D29,E29)</f>
        <v>30000</v>
      </c>
      <c r="G29" s="88"/>
    </row>
    <row r="30" spans="1:7" ht="15" customHeight="1" x14ac:dyDescent="0.2">
      <c r="A30" s="28" t="s">
        <v>375</v>
      </c>
      <c r="B30" s="66" t="s">
        <v>349</v>
      </c>
      <c r="C30" s="99">
        <f>INDEX($D$45:$D$49,$H$4)</f>
        <v>60</v>
      </c>
      <c r="D30" s="99">
        <f>INDEX($D$45:$D$49,$H$4)</f>
        <v>60</v>
      </c>
      <c r="E30" s="99">
        <f>INDEX($D$45:$D$49,$H$4)</f>
        <v>60</v>
      </c>
      <c r="F30" s="97">
        <f>CHOOSE(Scenarios!$H$2,C30,D30,E30)</f>
        <v>60</v>
      </c>
      <c r="G30" s="88" t="s">
        <v>376</v>
      </c>
    </row>
    <row r="31" spans="1:7" ht="15" customHeight="1" x14ac:dyDescent="0.2">
      <c r="A31" s="28" t="s">
        <v>377</v>
      </c>
      <c r="B31" s="66" t="s">
        <v>313</v>
      </c>
      <c r="C31" s="89">
        <f>C7*C30</f>
        <v>90000</v>
      </c>
      <c r="D31" s="89">
        <f>D7*D30</f>
        <v>90000</v>
      </c>
      <c r="E31" s="89">
        <f>E7*E30</f>
        <v>90000</v>
      </c>
      <c r="F31" s="67">
        <f>CHOOSE(Scenarios!$H$2,C31,D31,E31)</f>
        <v>90000</v>
      </c>
      <c r="G31" s="88"/>
    </row>
    <row r="32" spans="1:7" ht="30" customHeight="1" x14ac:dyDescent="0.2">
      <c r="A32" s="28" t="s">
        <v>378</v>
      </c>
      <c r="B32" s="66" t="s">
        <v>313</v>
      </c>
      <c r="C32" s="98">
        <v>0</v>
      </c>
      <c r="D32" s="98">
        <v>0</v>
      </c>
      <c r="E32" s="98">
        <v>0</v>
      </c>
      <c r="F32" s="67">
        <f>CHOOSE(Scenarios!$H$2,C32,D32,E32)</f>
        <v>0</v>
      </c>
      <c r="G32" s="88" t="s">
        <v>379</v>
      </c>
    </row>
    <row r="33" spans="1:8" ht="15" customHeight="1" x14ac:dyDescent="0.2">
      <c r="A33" s="28" t="s">
        <v>380</v>
      </c>
      <c r="B33" s="66" t="s">
        <v>313</v>
      </c>
      <c r="C33" s="98">
        <v>0</v>
      </c>
      <c r="D33" s="98">
        <v>0</v>
      </c>
      <c r="E33" s="98">
        <v>0</v>
      </c>
      <c r="F33" s="67">
        <f>CHOOSE(Scenarios!$H$2,C33,D33,E33)</f>
        <v>0</v>
      </c>
      <c r="G33" s="88"/>
    </row>
    <row r="34" spans="1:8" ht="15" customHeight="1" x14ac:dyDescent="0.2">
      <c r="A34" s="28" t="s">
        <v>381</v>
      </c>
      <c r="B34" s="66" t="s">
        <v>313</v>
      </c>
      <c r="C34" s="98">
        <v>0</v>
      </c>
      <c r="D34" s="98">
        <v>0</v>
      </c>
      <c r="E34" s="98">
        <v>0</v>
      </c>
      <c r="F34" s="67">
        <f>CHOOSE(Scenarios!$H$2,C34,D34,E34)</f>
        <v>0</v>
      </c>
      <c r="G34" s="88"/>
    </row>
    <row r="35" spans="1:8" ht="15" customHeight="1" x14ac:dyDescent="0.2">
      <c r="A35" s="28" t="s">
        <v>382</v>
      </c>
      <c r="B35" s="66" t="s">
        <v>313</v>
      </c>
      <c r="C35" s="98">
        <v>0</v>
      </c>
      <c r="D35" s="98">
        <v>0</v>
      </c>
      <c r="E35" s="98">
        <v>0</v>
      </c>
      <c r="F35" s="67">
        <f>CHOOSE(Scenarios!$H$2,C35,D35,E35)</f>
        <v>0</v>
      </c>
      <c r="G35" s="88"/>
    </row>
    <row r="36" spans="1:8" ht="15" customHeight="1" x14ac:dyDescent="0.2">
      <c r="A36" s="100" t="s">
        <v>383</v>
      </c>
      <c r="B36" s="121" t="str">
        <f>$B$4&amp;"  —  "&amp;INDEX($B$45:$B$49,$H$4)&amp;"  ·  "&amp;TEXT(INDEX($C$45:$C$49,$H$4),"$#,##0")&amp;" / run"</f>
        <v>2 Critical Care Trucks  —  1 CC provider + 1 medic on each truck  ·  $825 / run</v>
      </c>
      <c r="C36" s="121"/>
      <c r="D36" s="121"/>
      <c r="E36" s="121"/>
    </row>
    <row r="37" spans="1:8" ht="19.5" customHeight="1" x14ac:dyDescent="0.2">
      <c r="A37" s="120" t="s">
        <v>384</v>
      </c>
      <c r="B37" s="120"/>
      <c r="C37" s="120"/>
      <c r="D37" s="120"/>
      <c r="E37" s="120"/>
      <c r="F37" s="120"/>
      <c r="G37" s="120"/>
    </row>
    <row r="38" spans="1:8" ht="15" customHeight="1" x14ac:dyDescent="0.2">
      <c r="A38" s="101" t="s">
        <v>385</v>
      </c>
      <c r="B38" s="102" t="s">
        <v>313</v>
      </c>
      <c r="C38" s="103">
        <f>C10</f>
        <v>1237500</v>
      </c>
      <c r="D38" s="103">
        <f>D10</f>
        <v>1237500</v>
      </c>
      <c r="E38" s="103">
        <f>E10</f>
        <v>1237500</v>
      </c>
      <c r="F38" s="104">
        <f>CHOOSE(Scenarios!$H$2,C38,D38,E38)</f>
        <v>1237500</v>
      </c>
      <c r="G38" s="88"/>
      <c r="H38" s="105">
        <f>IF($B$3="OFF",0,CHOOSE(Scenarios!$H$2,C38,D38,E38))</f>
        <v>1237500</v>
      </c>
    </row>
    <row r="39" spans="1:8" ht="15" customHeight="1" x14ac:dyDescent="0.2">
      <c r="A39" s="101" t="s">
        <v>386</v>
      </c>
      <c r="B39" s="102" t="s">
        <v>313</v>
      </c>
      <c r="C39" s="103">
        <f>C11+C19+C20+C21+C22+C24+C26+C27+C29+C31+C32+SUM(C33:C35)</f>
        <v>572811.42857142864</v>
      </c>
      <c r="D39" s="103">
        <f>D11+D19+D20+D21+D22+D24+D26+D27+D29+D31+D32+SUM(D33:D35)</f>
        <v>643864.35714285728</v>
      </c>
      <c r="E39" s="103">
        <f>E11+E19+E20+E21+E22+E24+E26+E27+E29+E31+E32+SUM(E33:E35)</f>
        <v>731229.57142857148</v>
      </c>
      <c r="F39" s="104">
        <f>CHOOSE(Scenarios!$H$2,C39,D39,E39)</f>
        <v>643864.35714285728</v>
      </c>
      <c r="G39" s="88"/>
      <c r="H39" s="105">
        <f>IF($B$3="OFF",0,CHOOSE(Scenarios!$H$2,C39,D39,E39))</f>
        <v>643864.35714285728</v>
      </c>
    </row>
    <row r="40" spans="1:8" ht="15" customHeight="1" x14ac:dyDescent="0.2">
      <c r="A40" s="101" t="s">
        <v>387</v>
      </c>
      <c r="B40" s="102" t="s">
        <v>313</v>
      </c>
      <c r="C40" s="103">
        <f>C38-C39</f>
        <v>664688.57142857136</v>
      </c>
      <c r="D40" s="103">
        <f>D38-D39</f>
        <v>593635.64285714272</v>
      </c>
      <c r="E40" s="103">
        <f>E38-E39</f>
        <v>506270.42857142852</v>
      </c>
      <c r="F40" s="104">
        <f>CHOOSE(Scenarios!$H$2,C40,D40,E40)</f>
        <v>593635.64285714272</v>
      </c>
      <c r="G40" s="88"/>
    </row>
    <row r="41" spans="1:8" ht="15" customHeight="1" x14ac:dyDescent="0.2">
      <c r="A41" s="1" t="s">
        <v>388</v>
      </c>
    </row>
    <row r="43" spans="1:8" ht="19.5" customHeight="1" x14ac:dyDescent="0.2">
      <c r="A43" s="120" t="s">
        <v>389</v>
      </c>
      <c r="B43" s="120"/>
      <c r="C43" s="120"/>
      <c r="D43" s="120"/>
      <c r="E43" s="120"/>
      <c r="F43" s="120"/>
      <c r="G43" s="120"/>
    </row>
    <row r="44" spans="1:8" ht="25.5" customHeight="1" x14ac:dyDescent="0.2">
      <c r="A44" s="85" t="s">
        <v>390</v>
      </c>
      <c r="B44" s="85" t="s">
        <v>391</v>
      </c>
      <c r="C44" s="85" t="s">
        <v>392</v>
      </c>
      <c r="D44" s="85" t="s">
        <v>393</v>
      </c>
      <c r="E44" s="85" t="s">
        <v>394</v>
      </c>
    </row>
    <row r="45" spans="1:8" ht="15" customHeight="1" x14ac:dyDescent="0.2">
      <c r="A45" s="28" t="s">
        <v>395</v>
      </c>
      <c r="B45" s="106" t="s">
        <v>396</v>
      </c>
      <c r="C45" s="98">
        <v>650</v>
      </c>
      <c r="D45" s="98">
        <v>40</v>
      </c>
      <c r="E45" s="98">
        <v>20</v>
      </c>
    </row>
    <row r="46" spans="1:8" ht="15" customHeight="1" x14ac:dyDescent="0.2">
      <c r="A46" s="28" t="s">
        <v>397</v>
      </c>
      <c r="B46" s="106" t="s">
        <v>398</v>
      </c>
      <c r="C46" s="98">
        <v>575</v>
      </c>
      <c r="D46" s="98">
        <v>20</v>
      </c>
      <c r="E46" s="98">
        <v>20</v>
      </c>
      <c r="G46" s="1" t="s">
        <v>399</v>
      </c>
    </row>
    <row r="47" spans="1:8" ht="15" customHeight="1" x14ac:dyDescent="0.2">
      <c r="A47" s="28" t="s">
        <v>400</v>
      </c>
      <c r="B47" s="106" t="s">
        <v>401</v>
      </c>
      <c r="C47" s="98">
        <v>612.5</v>
      </c>
      <c r="D47" s="98">
        <v>30</v>
      </c>
      <c r="E47" s="98">
        <v>20</v>
      </c>
      <c r="G47" s="1" t="s">
        <v>402</v>
      </c>
    </row>
    <row r="48" spans="1:8" ht="15" customHeight="1" x14ac:dyDescent="0.2">
      <c r="A48" s="28" t="s">
        <v>403</v>
      </c>
      <c r="B48" s="106" t="s">
        <v>404</v>
      </c>
      <c r="C48" s="98">
        <v>825</v>
      </c>
      <c r="D48" s="98">
        <v>60</v>
      </c>
      <c r="E48" s="98">
        <v>20</v>
      </c>
      <c r="G48" s="1" t="s">
        <v>405</v>
      </c>
    </row>
    <row r="49" spans="1:7" ht="15" customHeight="1" x14ac:dyDescent="0.2">
      <c r="A49" s="28" t="s">
        <v>342</v>
      </c>
      <c r="B49" s="106" t="s">
        <v>406</v>
      </c>
      <c r="C49" s="98">
        <v>700</v>
      </c>
      <c r="D49" s="98">
        <v>40</v>
      </c>
      <c r="E49" s="98">
        <v>20</v>
      </c>
      <c r="G49" s="1" t="s">
        <v>402</v>
      </c>
    </row>
    <row r="51" spans="1:7" ht="19.5" customHeight="1" x14ac:dyDescent="0.2">
      <c r="A51" s="120" t="s">
        <v>407</v>
      </c>
      <c r="B51" s="120"/>
      <c r="C51" s="120"/>
      <c r="D51" s="120"/>
      <c r="E51" s="120"/>
      <c r="F51" s="120"/>
      <c r="G51" s="120"/>
    </row>
    <row r="52" spans="1:7" ht="25.5" customHeight="1" x14ac:dyDescent="0.2">
      <c r="A52" s="85" t="s">
        <v>390</v>
      </c>
      <c r="B52" s="85" t="s">
        <v>408</v>
      </c>
      <c r="C52" s="85" t="s">
        <v>309</v>
      </c>
      <c r="D52" s="85" t="s">
        <v>305</v>
      </c>
      <c r="E52" s="85" t="s">
        <v>310</v>
      </c>
    </row>
    <row r="53" spans="1:7" ht="15" customHeight="1" x14ac:dyDescent="0.2">
      <c r="A53" s="28" t="s">
        <v>395</v>
      </c>
      <c r="B53" s="107" t="s">
        <v>409</v>
      </c>
      <c r="C53" s="69">
        <f>$C$7*$C$45-($C$7*$C$45*$C$9+$C$15*(2*$C$16+2*$C$17+0*$C$18)+$C$20+($C$15*(2*$C$16+2*$C$17+0*$C$18)+$C$20)*(Details!$D$19+Details!$D$20)+$C$22+$C$24+$C$26+$C$27+$C$7*$E$45+$C$7*$D$45+$C$32+SUM($C$33:$C$35))</f>
        <v>480305.14285714278</v>
      </c>
      <c r="D53" s="69">
        <f>$D$7*$C$45-($D$7*$C$45*$D$9+$D$15*(2*$D$16+2*$D$17+0*$D$18)+$D$20+($D$15*(2*$D$16+2*$D$17+0*$D$18)+$D$20)*(Details!$D$19+Details!$D$20)+$D$22+$D$24+$D$26+$D$27+$D$7*$E$45+$D$7*$D$45+$D$32+SUM($D$33:$D$35))</f>
        <v>398025.85714285716</v>
      </c>
      <c r="E53" s="69">
        <f>$E$7*$C$45-($E$7*$C$45*$E$9+$E$15*(2*$E$16+2*$E$17+0*$E$18)+$E$20+($E$15*(2*$E$16+2*$E$17+0*$E$18)+$E$20)*(Details!$D$19+Details!$D$20)+$E$22+$E$24+$E$26+$E$27+$E$7*$E$45+$E$7*$D$45+$E$32+SUM($E$33:$E$35))</f>
        <v>310660.64285714272</v>
      </c>
    </row>
    <row r="54" spans="1:7" ht="15" customHeight="1" x14ac:dyDescent="0.2">
      <c r="A54" s="29" t="s">
        <v>397</v>
      </c>
      <c r="B54" s="108" t="s">
        <v>409</v>
      </c>
      <c r="C54" s="70">
        <f>$C$7*$C$46-($C$7*$C$46*$C$9+$C$15*(4*$C$16+0*$C$17+0*$C$18)+$C$20+($C$15*(4*$C$16+0*$C$17+0*$C$18)+$C$20)*(Details!$D$19+Details!$D$20)+$C$22+$C$24+$C$26+$C$27+$C$7*$E$46+$C$7*$D$46+$C$32+SUM($C$33:$C$35))</f>
        <v>426445.35714285716</v>
      </c>
      <c r="D54" s="70">
        <f>$D$7*$C$46-($D$7*$C$46*$D$9+$D$15*(4*$D$16+0*$D$17+0*$D$18)+$D$20+($D$15*(4*$D$16+0*$D$17+0*$D$18)+$D$20)*(Details!$D$19+Details!$D$20)+$D$22+$D$24+$D$26+$D$27+$D$7*$E$46+$D$7*$D$46+$D$32+SUM($D$33:$D$35))</f>
        <v>332939.71428571432</v>
      </c>
      <c r="E54" s="70">
        <f>$E$7*$C$46-($E$7*$C$46*$E$9+$E$15*(4*$E$16+0*$E$17+0*$E$18)+$E$20+($E$15*(4*$E$16+0*$E$17+0*$E$18)+$E$20)*(Details!$D$19+Details!$D$20)+$E$22+$E$24+$E$26+$E$27+$E$7*$E$46+$E$7*$D$46+$E$32+SUM($E$33:$E$35))</f>
        <v>245574.5</v>
      </c>
    </row>
    <row r="55" spans="1:7" ht="15" customHeight="1" x14ac:dyDescent="0.2">
      <c r="A55" s="28" t="s">
        <v>400</v>
      </c>
      <c r="B55" s="107" t="s">
        <v>409</v>
      </c>
      <c r="C55" s="69">
        <f>$C$7*$C$47-($C$7*$C$47*$C$9+$C$15*(3*$C$16+1*$C$17+0*$C$18)+$C$20+($C$15*(3*$C$16+1*$C$17+0*$C$18)+$C$20)*(Details!$D$19+Details!$D$20)+$C$22+$C$24+$C$26+$C$27+$C$7*$E$47+$C$7*$D$47+$C$32+SUM($C$33:$C$35))</f>
        <v>453375.25</v>
      </c>
      <c r="D55" s="69">
        <f>$D$7*$C$47-($D$7*$C$47*$D$9+$D$15*(3*$D$16+1*$D$17+0*$D$18)+$D$20+($D$15*(3*$D$16+1*$D$17+0*$D$18)+$D$20)*(Details!$D$19+Details!$D$20)+$D$22+$D$24+$D$26+$D$27+$D$7*$E$47+$D$7*$D$47+$D$32+SUM($D$33:$D$35))</f>
        <v>365482.78571428568</v>
      </c>
      <c r="E55" s="69">
        <f>$E$7*$C$47-($E$7*$C$47*$E$9+$E$15*(3*$E$16+1*$E$17+0*$E$18)+$E$20+($E$15*(3*$E$16+1*$E$17+0*$E$18)+$E$20)*(Details!$D$19+Details!$D$20)+$E$22+$E$24+$E$26+$E$27+$E$7*$E$47+$E$7*$D$47+$E$32+SUM($E$33:$E$35))</f>
        <v>278117.57142857136</v>
      </c>
    </row>
    <row r="56" spans="1:7" ht="15" customHeight="1" x14ac:dyDescent="0.2">
      <c r="A56" s="29" t="s">
        <v>403</v>
      </c>
      <c r="B56" s="108" t="s">
        <v>409</v>
      </c>
      <c r="C56" s="70">
        <f>$C$7*$C$48-($C$7*$C$48*$C$9+$C$15*(0*$C$16+2*$C$17+2*$C$18)+$C$20+($C$15*(0*$C$16+2*$C$17+2*$C$18)+$C$20)*(Details!$D$19+Details!$D$20)+$C$22+$C$24+$C$26+$C$27+$C$7*$E$48+$C$7*$D$48+$C$32+SUM($C$33:$C$35))</f>
        <v>664688.57142857136</v>
      </c>
      <c r="D56" s="70">
        <f>$D$7*$C$48-($D$7*$C$48*$D$9+$D$15*(0*$D$16+2*$D$17+2*$D$18)+$D$20+($D$15*(0*$D$16+2*$D$17+2*$D$18)+$D$20)*(Details!$D$19+Details!$D$20)+$D$22+$D$24+$D$26+$D$27+$D$7*$E$48+$D$7*$D$48+$D$32+SUM($D$33:$D$35))</f>
        <v>593635.64285714272</v>
      </c>
      <c r="E56" s="70">
        <f>$E$7*$C$48-($E$7*$C$48*$E$9+$E$15*(0*$E$16+2*$E$17+2*$E$18)+$E$20+($E$15*(0*$E$16+2*$E$17+2*$E$18)+$E$20)*(Details!$D$19+Details!$D$20)+$E$22+$E$24+$E$26+$E$27+$E$7*$E$48+$E$7*$D$48+$E$32+SUM($E$33:$E$35))</f>
        <v>506270.42857142852</v>
      </c>
    </row>
    <row r="57" spans="1:7" ht="15" customHeight="1" x14ac:dyDescent="0.2">
      <c r="A57" s="28" t="s">
        <v>342</v>
      </c>
      <c r="B57" s="107" t="s">
        <v>409</v>
      </c>
      <c r="C57" s="69">
        <f>$C$7*$C$49-($C$7*$C$49*$C$9+$C$15*(2*$C$16+1*$C$17+1*$C$18)+$C$20+($C$15*(2*$C$16+1*$C$17+1*$C$18)+$C$20)*(Details!$D$19+Details!$D$20)+$C$22+$C$24+$C$26+$C$27+$C$7*$E$49+$C$7*$D$49+$C$32+SUM($C$33:$C$35))</f>
        <v>545566.96428571432</v>
      </c>
      <c r="D57" s="69">
        <f>$D$7*$C$49-($D$7*$C$49*$D$9+$D$15*(2*$D$16+1*$D$17+1*$D$18)+$D$20+($D$15*(2*$D$16+1*$D$17+1*$D$18)+$D$20)*(Details!$D$19+Details!$D$20)+$D$22+$D$24+$D$26+$D$27+$D$7*$E$49+$D$7*$D$49+$D$32+SUM($D$33:$D$35))</f>
        <v>463287.67857142852</v>
      </c>
      <c r="E57" s="69">
        <f>$E$7*$C$49-($E$7*$C$49*$E$9+$E$15*(2*$E$16+1*$E$17+1*$E$18)+$E$20+($E$15*(2*$E$16+1*$E$17+1*$E$18)+$E$20)*(Details!$D$19+Details!$D$20)+$E$22+$E$24+$E$26+$E$27+$E$7*$E$49+$E$7*$D$49+$E$32+SUM($E$33:$E$35))</f>
        <v>375922.46428571432</v>
      </c>
    </row>
    <row r="58" spans="1:7" ht="15" customHeight="1" x14ac:dyDescent="0.2">
      <c r="A58" s="1"/>
    </row>
    <row r="59" spans="1:7" ht="15" customHeight="1" x14ac:dyDescent="0.2">
      <c r="A59" s="122" t="s">
        <v>410</v>
      </c>
      <c r="B59" s="122"/>
      <c r="C59" s="122"/>
      <c r="D59" s="122"/>
      <c r="E59" s="122"/>
    </row>
    <row r="60" spans="1:7" ht="15" customHeight="1" x14ac:dyDescent="0.2">
      <c r="A60" s="28" t="s">
        <v>395</v>
      </c>
      <c r="B60" s="109" t="s">
        <v>411</v>
      </c>
      <c r="C60" s="69">
        <f>($C$7*$C$45*$C$9+$C$15*(2*$C$16+2*$C$17+0*$C$18)+$C$20+($C$15*(2*$C$16+2*$C$17+0*$C$18)+$C$20)*(Details!$D$19+Details!$D$20)+$C$22+$C$24+$C$26+$C$27+$C$7*$E$45+$C$7*$D$45+$C$32+SUM($C$33:$C$35))</f>
        <v>494694.85714285722</v>
      </c>
      <c r="D60" s="69">
        <f>($D$7*$C$45*$D$9+$D$15*(2*$D$16+2*$D$17+0*$D$18)+$D$20+($D$15*(2*$D$16+2*$D$17+0*$D$18)+$D$20)*(Details!$D$19+Details!$D$20)+$D$22+$D$24+$D$26+$D$27+$D$7*$E$45+$D$7*$D$45+$D$32+SUM($D$33:$D$35))</f>
        <v>576974.14285714284</v>
      </c>
      <c r="E60" s="69">
        <f>($E$7*$C$45*$E$9+$E$15*(2*$E$16+2*$E$17+0*$E$18)+$E$20+($E$15*(2*$E$16+2*$E$17+0*$E$18)+$E$20)*(Details!$D$19+Details!$D$20)+$E$22+$E$24+$E$26+$E$27+$E$7*$E$45+$E$7*$D$45+$E$32+SUM($E$33:$E$35))</f>
        <v>664339.35714285728</v>
      </c>
    </row>
    <row r="61" spans="1:7" ht="15" customHeight="1" x14ac:dyDescent="0.2">
      <c r="A61" s="29" t="s">
        <v>397</v>
      </c>
      <c r="B61" s="110" t="s">
        <v>411</v>
      </c>
      <c r="C61" s="70">
        <f>($C$7*$C$46*$C$9+$C$15*(4*$C$16+0*$C$17+0*$C$18)+$C$20+($C$15*(4*$C$16+0*$C$17+0*$C$18)+$C$20)*(Details!$D$19+Details!$D$20)+$C$22+$C$24+$C$26+$C$27+$C$7*$E$46+$C$7*$D$46+$C$32+SUM($C$33:$C$35))</f>
        <v>436054.64285714284</v>
      </c>
      <c r="D61" s="70">
        <f>($D$7*$C$46*$D$9+$D$15*(4*$D$16+0*$D$17+0*$D$18)+$D$20+($D$15*(4*$D$16+0*$D$17+0*$D$18)+$D$20)*(Details!$D$19+Details!$D$20)+$D$22+$D$24+$D$26+$D$27+$D$7*$E$46+$D$7*$D$46+$D$32+SUM($D$33:$D$35))</f>
        <v>529560.28571428568</v>
      </c>
      <c r="E61" s="70">
        <f>($E$7*$C$46*$E$9+$E$15*(4*$E$16+0*$E$17+0*$E$18)+$E$20+($E$15*(4*$E$16+0*$E$17+0*$E$18)+$E$20)*(Details!$D$19+Details!$D$20)+$E$22+$E$24+$E$26+$E$27+$E$7*$E$46+$E$7*$D$46+$E$32+SUM($E$33:$E$35))</f>
        <v>616925.5</v>
      </c>
    </row>
    <row r="62" spans="1:7" ht="15" customHeight="1" x14ac:dyDescent="0.2">
      <c r="A62" s="28" t="s">
        <v>400</v>
      </c>
      <c r="B62" s="109" t="s">
        <v>411</v>
      </c>
      <c r="C62" s="69">
        <f>($C$7*$C$47*$C$9+$C$15*(3*$C$16+1*$C$17+0*$C$18)+$C$20+($C$15*(3*$C$16+1*$C$17+0*$C$18)+$C$20)*(Details!$D$19+Details!$D$20)+$C$22+$C$24+$C$26+$C$27+$C$7*$E$47+$C$7*$D$47+$C$32+SUM($C$33:$C$35))</f>
        <v>465374.75</v>
      </c>
      <c r="D62" s="69">
        <f>($D$7*$C$47*$D$9+$D$15*(3*$D$16+1*$D$17+0*$D$18)+$D$20+($D$15*(3*$D$16+1*$D$17+0*$D$18)+$D$20)*(Details!$D$19+Details!$D$20)+$D$22+$D$24+$D$26+$D$27+$D$7*$E$47+$D$7*$D$47+$D$32+SUM($D$33:$D$35))</f>
        <v>553267.21428571432</v>
      </c>
      <c r="E62" s="69">
        <f>($E$7*$C$47*$E$9+$E$15*(3*$E$16+1*$E$17+0*$E$18)+$E$20+($E$15*(3*$E$16+1*$E$17+0*$E$18)+$E$20)*(Details!$D$19+Details!$D$20)+$E$22+$E$24+$E$26+$E$27+$E$7*$E$47+$E$7*$D$47+$E$32+SUM($E$33:$E$35))</f>
        <v>640632.42857142864</v>
      </c>
    </row>
    <row r="63" spans="1:7" ht="15" customHeight="1" x14ac:dyDescent="0.2">
      <c r="A63" s="29" t="s">
        <v>403</v>
      </c>
      <c r="B63" s="110" t="s">
        <v>411</v>
      </c>
      <c r="C63" s="70">
        <f>($C$7*$C$48*$C$9+$C$15*(0*$C$16+2*$C$17+2*$C$18)+$C$20+($C$15*(0*$C$16+2*$C$17+2*$C$18)+$C$20)*(Details!$D$19+Details!$D$20)+$C$22+$C$24+$C$26+$C$27+$C$7*$E$48+$C$7*$D$48+$C$32+SUM($C$33:$C$35))</f>
        <v>572811.42857142864</v>
      </c>
      <c r="D63" s="70">
        <f>($D$7*$C$48*$D$9+$D$15*(0*$D$16+2*$D$17+2*$D$18)+$D$20+($D$15*(0*$D$16+2*$D$17+2*$D$18)+$D$20)*(Details!$D$19+Details!$D$20)+$D$22+$D$24+$D$26+$D$27+$D$7*$E$48+$D$7*$D$48+$D$32+SUM($D$33:$D$35))</f>
        <v>643864.35714285728</v>
      </c>
      <c r="E63" s="70">
        <f>($E$7*$C$48*$E$9+$E$15*(0*$E$16+2*$E$17+2*$E$18)+$E$20+($E$15*(0*$E$16+2*$E$17+2*$E$18)+$E$20)*(Details!$D$19+Details!$D$20)+$E$22+$E$24+$E$26+$E$27+$E$7*$E$48+$E$7*$D$48+$E$32+SUM($E$33:$E$35))</f>
        <v>731229.57142857148</v>
      </c>
    </row>
    <row r="64" spans="1:7" ht="15" customHeight="1" x14ac:dyDescent="0.2">
      <c r="A64" s="28" t="s">
        <v>342</v>
      </c>
      <c r="B64" s="109" t="s">
        <v>411</v>
      </c>
      <c r="C64" s="69">
        <f>($C$7*$C$49*$C$9+$C$15*(2*$C$16+1*$C$17+1*$C$18)+$C$20+($C$15*(2*$C$16+1*$C$17+1*$C$18)+$C$20)*(Details!$D$19+Details!$D$20)+$C$22+$C$24+$C$26+$C$27+$C$7*$E$49+$C$7*$D$49+$C$32+SUM($C$33:$C$35))</f>
        <v>504433.03571428574</v>
      </c>
      <c r="D64" s="69">
        <f>($D$7*$C$49*$D$9+$D$15*(2*$D$16+1*$D$17+1*$D$18)+$D$20+($D$15*(2*$D$16+1*$D$17+1*$D$18)+$D$20)*(Details!$D$19+Details!$D$20)+$D$22+$D$24+$D$26+$D$27+$D$7*$E$49+$D$7*$D$49+$D$32+SUM($D$33:$D$35))</f>
        <v>586712.32142857148</v>
      </c>
      <c r="E64" s="69">
        <f>($E$7*$C$49*$E$9+$E$15*(2*$E$16+1*$E$17+1*$E$18)+$E$20+($E$15*(2*$E$16+1*$E$17+1*$E$18)+$E$20)*(Details!$D$19+Details!$D$20)+$E$22+$E$24+$E$26+$E$27+$E$7*$E$49+$E$7*$D$49+$E$32+SUM($E$33:$E$35))</f>
        <v>674077.53571428568</v>
      </c>
    </row>
    <row r="65" spans="1:1" ht="15" customHeight="1" x14ac:dyDescent="0.2">
      <c r="A65" s="1" t="s">
        <v>412</v>
      </c>
    </row>
  </sheetData>
  <mergeCells count="10">
    <mergeCell ref="B36:E36"/>
    <mergeCell ref="A37:G37"/>
    <mergeCell ref="A43:G43"/>
    <mergeCell ref="A51:G51"/>
    <mergeCell ref="A59:E59"/>
    <mergeCell ref="A1:G1"/>
    <mergeCell ref="B4:D4"/>
    <mergeCell ref="A6:G6"/>
    <mergeCell ref="A12:G12"/>
    <mergeCell ref="A25:G25"/>
  </mergeCells>
  <conditionalFormatting sqref="A45:C49">
    <cfRule type="expression" dxfId="8" priority="6">
      <formula>$A45=$B$4</formula>
    </cfRule>
  </conditionalFormatting>
  <conditionalFormatting sqref="A53:E57">
    <cfRule type="expression" dxfId="7" priority="7">
      <formula>$A53=$B$4</formula>
    </cfRule>
  </conditionalFormatting>
  <conditionalFormatting sqref="A60:E64">
    <cfRule type="expression" dxfId="6" priority="11">
      <formula>$A60=$B$4</formula>
    </cfRule>
  </conditionalFormatting>
  <conditionalFormatting sqref="B3">
    <cfRule type="cellIs" dxfId="5" priority="2" operator="equal">
      <formula>"ON"</formula>
    </cfRule>
    <cfRule type="cellIs" dxfId="4" priority="3" operator="equal">
      <formula>"OFF"</formula>
    </cfRule>
  </conditionalFormatting>
  <conditionalFormatting sqref="C53:E57">
    <cfRule type="cellIs" dxfId="3" priority="9" operator="greaterThanOrEqual">
      <formula>0</formula>
    </cfRule>
    <cfRule type="cellIs" dxfId="2" priority="10" operator="lessThan">
      <formula>0</formula>
    </cfRule>
  </conditionalFormatting>
  <conditionalFormatting sqref="C40:F40">
    <cfRule type="cellIs" dxfId="1" priority="4" operator="greaterThanOrEqual">
      <formula>0</formula>
    </cfRule>
    <cfRule type="cellIs" dxfId="0" priority="5" operator="lessThan">
      <formula>0</formula>
    </cfRule>
  </conditionalFormatting>
  <dataValidations count="2">
    <dataValidation type="list" sqref="B3" xr:uid="{00000000-0002-0000-0400-000000000000}">
      <formula1>"ON,OFF"</formula1>
      <formula2>0</formula2>
    </dataValidation>
    <dataValidation type="list" sqref="B4" xr:uid="{00000000-0002-0000-0400-000001000000}">
      <formula1>"2 ALS Trucks,2 BLS Trucks,1 ALS + 1 BLS,2 Critical Care Trucks,1 Critical Care + 1 BLS"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F34"/>
  <sheetViews>
    <sheetView showGridLines="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22" customWidth="1"/>
    <col min="3" max="3" width="14" customWidth="1"/>
    <col min="4" max="4" width="34" customWidth="1"/>
    <col min="5" max="5" width="26" customWidth="1"/>
    <col min="6" max="6" width="34" customWidth="1"/>
  </cols>
  <sheetData>
    <row r="1" spans="1:6" ht="30" customHeight="1" x14ac:dyDescent="0.2">
      <c r="A1" s="118" t="s">
        <v>413</v>
      </c>
      <c r="B1" s="118"/>
      <c r="C1" s="118"/>
      <c r="D1" s="118"/>
      <c r="E1" s="118"/>
      <c r="F1" s="118"/>
    </row>
    <row r="2" spans="1:6" ht="30" customHeight="1" x14ac:dyDescent="0.2">
      <c r="A2" s="111" t="s">
        <v>414</v>
      </c>
    </row>
    <row r="4" spans="1:6" ht="15" customHeight="1" x14ac:dyDescent="0.2">
      <c r="A4" s="79" t="s">
        <v>415</v>
      </c>
      <c r="B4" s="79" t="s">
        <v>416</v>
      </c>
      <c r="C4" s="79" t="s">
        <v>417</v>
      </c>
      <c r="D4" s="79" t="s">
        <v>418</v>
      </c>
      <c r="E4" s="79" t="s">
        <v>419</v>
      </c>
      <c r="F4" s="79" t="s">
        <v>420</v>
      </c>
    </row>
    <row r="5" spans="1:6" ht="15" customHeight="1" x14ac:dyDescent="0.2">
      <c r="A5" s="28"/>
      <c r="B5" s="28"/>
      <c r="C5" s="28"/>
      <c r="D5" s="28"/>
      <c r="E5" s="28"/>
      <c r="F5" s="28"/>
    </row>
    <row r="6" spans="1:6" ht="15" customHeight="1" x14ac:dyDescent="0.2">
      <c r="A6" s="29"/>
      <c r="B6" s="29"/>
      <c r="C6" s="29"/>
      <c r="D6" s="29"/>
      <c r="E6" s="29"/>
      <c r="F6" s="29"/>
    </row>
    <row r="7" spans="1:6" ht="15" customHeight="1" x14ac:dyDescent="0.2">
      <c r="A7" s="28"/>
      <c r="B7" s="28"/>
      <c r="C7" s="28"/>
      <c r="D7" s="28"/>
      <c r="E7" s="28"/>
      <c r="F7" s="28"/>
    </row>
    <row r="8" spans="1:6" ht="15" customHeight="1" x14ac:dyDescent="0.2">
      <c r="A8" s="29"/>
      <c r="B8" s="29"/>
      <c r="C8" s="29"/>
      <c r="D8" s="29"/>
      <c r="E8" s="29"/>
      <c r="F8" s="29"/>
    </row>
    <row r="9" spans="1:6" ht="15" customHeight="1" x14ac:dyDescent="0.2">
      <c r="A9" s="28"/>
      <c r="B9" s="28"/>
      <c r="C9" s="28"/>
      <c r="D9" s="28"/>
      <c r="E9" s="28"/>
      <c r="F9" s="28"/>
    </row>
    <row r="10" spans="1:6" ht="15" customHeight="1" x14ac:dyDescent="0.2">
      <c r="A10" s="29"/>
      <c r="B10" s="29"/>
      <c r="C10" s="29"/>
      <c r="D10" s="29"/>
      <c r="E10" s="29"/>
      <c r="F10" s="29"/>
    </row>
    <row r="11" spans="1:6" ht="15" customHeight="1" x14ac:dyDescent="0.2">
      <c r="A11" s="28"/>
      <c r="B11" s="28"/>
      <c r="C11" s="28"/>
      <c r="D11" s="28"/>
      <c r="E11" s="28"/>
      <c r="F11" s="28"/>
    </row>
    <row r="12" spans="1:6" ht="15" customHeight="1" x14ac:dyDescent="0.2">
      <c r="A12" s="29"/>
      <c r="B12" s="29"/>
      <c r="C12" s="29"/>
      <c r="D12" s="29"/>
      <c r="E12" s="29"/>
      <c r="F12" s="29"/>
    </row>
    <row r="13" spans="1:6" ht="15" customHeight="1" x14ac:dyDescent="0.2">
      <c r="A13" s="28"/>
      <c r="B13" s="28"/>
      <c r="C13" s="28"/>
      <c r="D13" s="28"/>
      <c r="E13" s="28"/>
      <c r="F13" s="28"/>
    </row>
    <row r="14" spans="1:6" ht="15" customHeight="1" x14ac:dyDescent="0.2">
      <c r="A14" s="29"/>
      <c r="B14" s="29"/>
      <c r="C14" s="29"/>
      <c r="D14" s="29"/>
      <c r="E14" s="29"/>
      <c r="F14" s="29"/>
    </row>
    <row r="15" spans="1:6" ht="15" customHeight="1" x14ac:dyDescent="0.2">
      <c r="A15" s="28"/>
      <c r="B15" s="28"/>
      <c r="C15" s="28"/>
      <c r="D15" s="28"/>
      <c r="E15" s="28"/>
      <c r="F15" s="28"/>
    </row>
    <row r="16" spans="1:6" ht="15" customHeight="1" x14ac:dyDescent="0.2">
      <c r="A16" s="29"/>
      <c r="B16" s="29"/>
      <c r="C16" s="29"/>
      <c r="D16" s="29"/>
      <c r="E16" s="29"/>
      <c r="F16" s="29"/>
    </row>
    <row r="17" spans="1:6" ht="15" customHeight="1" x14ac:dyDescent="0.2">
      <c r="A17" s="28"/>
      <c r="B17" s="28"/>
      <c r="C17" s="28"/>
      <c r="D17" s="28"/>
      <c r="E17" s="28"/>
      <c r="F17" s="28"/>
    </row>
    <row r="18" spans="1:6" ht="15" customHeight="1" x14ac:dyDescent="0.2">
      <c r="A18" s="29"/>
      <c r="B18" s="29"/>
      <c r="C18" s="29"/>
      <c r="D18" s="29"/>
      <c r="E18" s="29"/>
      <c r="F18" s="29"/>
    </row>
    <row r="19" spans="1:6" ht="15" customHeight="1" x14ac:dyDescent="0.2">
      <c r="A19" s="28"/>
      <c r="B19" s="28"/>
      <c r="C19" s="28"/>
      <c r="D19" s="28"/>
      <c r="E19" s="28"/>
      <c r="F19" s="28"/>
    </row>
    <row r="20" spans="1:6" ht="15" customHeight="1" x14ac:dyDescent="0.2">
      <c r="A20" s="29"/>
      <c r="B20" s="29"/>
      <c r="C20" s="29"/>
      <c r="D20" s="29"/>
      <c r="E20" s="29"/>
      <c r="F20" s="29"/>
    </row>
    <row r="21" spans="1:6" ht="15" customHeight="1" x14ac:dyDescent="0.2">
      <c r="A21" s="28"/>
      <c r="B21" s="28"/>
      <c r="C21" s="28"/>
      <c r="D21" s="28"/>
      <c r="E21" s="28"/>
      <c r="F21" s="28"/>
    </row>
    <row r="22" spans="1:6" ht="15" customHeight="1" x14ac:dyDescent="0.2">
      <c r="A22" s="29"/>
      <c r="B22" s="29"/>
      <c r="C22" s="29"/>
      <c r="D22" s="29"/>
      <c r="E22" s="29"/>
      <c r="F22" s="29"/>
    </row>
    <row r="23" spans="1:6" ht="15" customHeight="1" x14ac:dyDescent="0.2">
      <c r="A23" s="28"/>
      <c r="B23" s="28"/>
      <c r="C23" s="28"/>
      <c r="D23" s="28"/>
      <c r="E23" s="28"/>
      <c r="F23" s="28"/>
    </row>
    <row r="24" spans="1:6" ht="15" customHeight="1" x14ac:dyDescent="0.2">
      <c r="A24" s="29"/>
      <c r="B24" s="29"/>
      <c r="C24" s="29"/>
      <c r="D24" s="29"/>
      <c r="E24" s="29"/>
      <c r="F24" s="29"/>
    </row>
    <row r="25" spans="1:6" ht="15" customHeight="1" x14ac:dyDescent="0.2">
      <c r="A25" s="28"/>
      <c r="B25" s="28"/>
      <c r="C25" s="28"/>
      <c r="D25" s="28"/>
      <c r="E25" s="28"/>
      <c r="F25" s="28"/>
    </row>
    <row r="26" spans="1:6" ht="15" customHeight="1" x14ac:dyDescent="0.2">
      <c r="A26" s="29"/>
      <c r="B26" s="29"/>
      <c r="C26" s="29"/>
      <c r="D26" s="29"/>
      <c r="E26" s="29"/>
      <c r="F26" s="29"/>
    </row>
    <row r="27" spans="1:6" ht="15" customHeight="1" x14ac:dyDescent="0.2">
      <c r="A27" s="28"/>
      <c r="B27" s="28"/>
      <c r="C27" s="28"/>
      <c r="D27" s="28"/>
      <c r="E27" s="28"/>
      <c r="F27" s="28"/>
    </row>
    <row r="28" spans="1:6" ht="15" customHeight="1" x14ac:dyDescent="0.2">
      <c r="A28" s="29"/>
      <c r="B28" s="29"/>
      <c r="C28" s="29"/>
      <c r="D28" s="29"/>
      <c r="E28" s="29"/>
      <c r="F28" s="29"/>
    </row>
    <row r="29" spans="1:6" ht="15" customHeight="1" x14ac:dyDescent="0.2">
      <c r="A29" s="28"/>
      <c r="B29" s="28"/>
      <c r="C29" s="28"/>
      <c r="D29" s="28"/>
      <c r="E29" s="28"/>
      <c r="F29" s="28"/>
    </row>
    <row r="30" spans="1:6" ht="15" customHeight="1" x14ac:dyDescent="0.2">
      <c r="A30" s="29"/>
      <c r="B30" s="29"/>
      <c r="C30" s="29"/>
      <c r="D30" s="29"/>
      <c r="E30" s="29"/>
      <c r="F30" s="29"/>
    </row>
    <row r="31" spans="1:6" ht="15" customHeight="1" x14ac:dyDescent="0.2">
      <c r="A31" s="28"/>
      <c r="B31" s="28"/>
      <c r="C31" s="28"/>
      <c r="D31" s="28"/>
      <c r="E31" s="28"/>
      <c r="F31" s="28"/>
    </row>
    <row r="32" spans="1:6" ht="15" customHeight="1" x14ac:dyDescent="0.2">
      <c r="A32" s="29"/>
      <c r="B32" s="29"/>
      <c r="C32" s="29"/>
      <c r="D32" s="29"/>
      <c r="E32" s="29"/>
      <c r="F32" s="29"/>
    </row>
    <row r="33" spans="1:6" ht="15" customHeight="1" x14ac:dyDescent="0.2">
      <c r="A33" s="28"/>
      <c r="B33" s="28"/>
      <c r="C33" s="28"/>
      <c r="D33" s="28"/>
      <c r="E33" s="28"/>
      <c r="F33" s="28"/>
    </row>
    <row r="34" spans="1:6" ht="15" customHeight="1" x14ac:dyDescent="0.2">
      <c r="A34" s="29"/>
      <c r="B34" s="29"/>
      <c r="C34" s="29"/>
      <c r="D34" s="29"/>
      <c r="E34" s="29"/>
      <c r="F34" s="29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Budget</vt:lpstr>
      <vt:lpstr>Details</vt:lpstr>
      <vt:lpstr>Scenarios</vt:lpstr>
      <vt:lpstr>Transfer Division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kenneth.james1</cp:lastModifiedBy>
  <dcterms:created xsi:type="dcterms:W3CDTF">2026-07-22T02:59:32Z</dcterms:created>
  <dcterms:modified xsi:type="dcterms:W3CDTF">2026-07-22T03:38:08Z</dcterms:modified>
</cp:coreProperties>
</file>